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icar\OneDrive\Documentos\PhD_Project\Opt_CB\Scaled_parts\prob_CB_prod_fix_v5_WC\"/>
    </mc:Choice>
  </mc:AlternateContent>
  <xr:revisionPtr revIDLastSave="0" documentId="13_ncr:1_{C6826D82-AAF7-4626-9776-B4F2E01E8A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cess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S2" i="1" a="1"/>
  <c r="S2" i="1" s="1"/>
  <c r="R2" i="1" a="1"/>
  <c r="R2" i="1" s="1"/>
  <c r="T2" i="1" l="1"/>
  <c r="T24" i="1"/>
  <c r="T46" i="1"/>
  <c r="T49" i="1"/>
  <c r="T50" i="1"/>
  <c r="T8" i="1"/>
  <c r="T9" i="1"/>
  <c r="T32" i="1"/>
  <c r="T33" i="1"/>
  <c r="T35" i="1"/>
  <c r="T14" i="1"/>
  <c r="T61" i="1"/>
  <c r="V61" i="1" s="1"/>
  <c r="T3" i="1"/>
  <c r="T25" i="1"/>
  <c r="T47" i="1"/>
  <c r="T27" i="1"/>
  <c r="T6" i="1"/>
  <c r="T30" i="1"/>
  <c r="T31" i="1"/>
  <c r="V31" i="1" s="1"/>
  <c r="T10" i="1"/>
  <c r="T55" i="1"/>
  <c r="T56" i="1"/>
  <c r="T59" i="1"/>
  <c r="T16" i="1"/>
  <c r="T60" i="1"/>
  <c r="T17" i="1"/>
  <c r="T40" i="1"/>
  <c r="T19" i="1"/>
  <c r="T63" i="1"/>
  <c r="T4" i="1"/>
  <c r="T26" i="1"/>
  <c r="T48" i="1"/>
  <c r="T5" i="1"/>
  <c r="T28" i="1"/>
  <c r="T52" i="1"/>
  <c r="T11" i="1"/>
  <c r="T34" i="1"/>
  <c r="T13" i="1"/>
  <c r="T15" i="1"/>
  <c r="T38" i="1"/>
  <c r="T39" i="1"/>
  <c r="T18" i="1"/>
  <c r="T62" i="1"/>
  <c r="T41" i="1"/>
  <c r="T20" i="1"/>
  <c r="T64" i="1"/>
  <c r="T21" i="1"/>
  <c r="T65" i="1"/>
  <c r="T44" i="1"/>
  <c r="T23" i="1"/>
  <c r="T7" i="1"/>
  <c r="T29" i="1"/>
  <c r="T51" i="1"/>
  <c r="T53" i="1"/>
  <c r="V53" i="1" s="1"/>
  <c r="T54" i="1"/>
  <c r="T12" i="1"/>
  <c r="T57" i="1"/>
  <c r="T36" i="1"/>
  <c r="T45" i="1"/>
  <c r="T37" i="1"/>
  <c r="T42" i="1"/>
  <c r="T43" i="1"/>
  <c r="T66" i="1"/>
  <c r="T58" i="1"/>
  <c r="T22" i="1"/>
  <c r="U7" i="1"/>
  <c r="U29" i="1"/>
  <c r="U51" i="1"/>
  <c r="U54" i="1"/>
  <c r="U33" i="1"/>
  <c r="U13" i="1"/>
  <c r="U36" i="1"/>
  <c r="U37" i="1"/>
  <c r="U60" i="1"/>
  <c r="U61" i="1"/>
  <c r="U40" i="1"/>
  <c r="U41" i="1"/>
  <c r="U8" i="1"/>
  <c r="U30" i="1"/>
  <c r="U52" i="1"/>
  <c r="U32" i="1"/>
  <c r="U11" i="1"/>
  <c r="U35" i="1"/>
  <c r="U14" i="1"/>
  <c r="U59" i="1"/>
  <c r="U38" i="1"/>
  <c r="U39" i="1"/>
  <c r="U18" i="1"/>
  <c r="U63" i="1"/>
  <c r="U42" i="1"/>
  <c r="U43" i="1"/>
  <c r="U66" i="1"/>
  <c r="U24" i="1"/>
  <c r="U9" i="1"/>
  <c r="U31" i="1"/>
  <c r="U53" i="1"/>
  <c r="U10" i="1"/>
  <c r="U55" i="1"/>
  <c r="U57" i="1"/>
  <c r="U58" i="1"/>
  <c r="U16" i="1"/>
  <c r="U17" i="1"/>
  <c r="U64" i="1"/>
  <c r="U65" i="1"/>
  <c r="U22" i="1"/>
  <c r="U23" i="1"/>
  <c r="U2" i="1"/>
  <c r="U25" i="1"/>
  <c r="U4" i="1"/>
  <c r="U5" i="1"/>
  <c r="U27" i="1"/>
  <c r="U6" i="1"/>
  <c r="U28" i="1"/>
  <c r="U50" i="1"/>
  <c r="U12" i="1"/>
  <c r="U34" i="1"/>
  <c r="U56" i="1"/>
  <c r="U15" i="1"/>
  <c r="U62" i="1"/>
  <c r="U19" i="1"/>
  <c r="U20" i="1"/>
  <c r="U21" i="1"/>
  <c r="U44" i="1"/>
  <c r="U45" i="1"/>
  <c r="U46" i="1"/>
  <c r="U3" i="1"/>
  <c r="U26" i="1"/>
  <c r="U47" i="1"/>
  <c r="U48" i="1"/>
  <c r="U49" i="1"/>
  <c r="V11" i="1" l="1"/>
  <c r="V22" i="1"/>
  <c r="V62" i="1"/>
  <c r="V55" i="1"/>
  <c r="V15" i="1"/>
  <c r="V14" i="1"/>
  <c r="V23" i="1"/>
  <c r="V19" i="1"/>
  <c r="V8" i="1"/>
  <c r="V44" i="1"/>
  <c r="V40" i="1"/>
  <c r="V65" i="1"/>
  <c r="V17" i="1"/>
  <c r="V49" i="1"/>
  <c r="V21" i="1"/>
  <c r="V60" i="1"/>
  <c r="V46" i="1"/>
  <c r="V64" i="1"/>
  <c r="V16" i="1"/>
  <c r="V24" i="1"/>
  <c r="V41" i="1"/>
  <c r="V56" i="1"/>
  <c r="V58" i="1"/>
  <c r="V18" i="1"/>
  <c r="V10" i="1"/>
  <c r="V39" i="1"/>
  <c r="V66" i="1"/>
  <c r="V43" i="1"/>
  <c r="V38" i="1"/>
  <c r="V30" i="1"/>
  <c r="V6" i="1"/>
  <c r="V37" i="1"/>
  <c r="V13" i="1"/>
  <c r="V27" i="1"/>
  <c r="V42" i="1"/>
  <c r="V45" i="1"/>
  <c r="V34" i="1"/>
  <c r="V47" i="1"/>
  <c r="V36" i="1"/>
  <c r="V25" i="1"/>
  <c r="V57" i="1"/>
  <c r="V52" i="1"/>
  <c r="V3" i="1"/>
  <c r="V48" i="1"/>
  <c r="V35" i="1"/>
  <c r="V5" i="1"/>
  <c r="V26" i="1"/>
  <c r="V33" i="1"/>
  <c r="V12" i="1"/>
  <c r="V54" i="1"/>
  <c r="V51" i="1"/>
  <c r="V29" i="1"/>
  <c r="V4" i="1"/>
  <c r="V32" i="1"/>
  <c r="V28" i="1"/>
  <c r="V7" i="1"/>
  <c r="V63" i="1"/>
  <c r="V9" i="1"/>
  <c r="V50" i="1"/>
  <c r="V20" i="1"/>
  <c r="V59" i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<sst xmlns="http://schemas.openxmlformats.org/spreadsheetml/2006/main" count="87" uniqueCount="23">
  <si>
    <t>Mass/ECT [m^-1]</t>
  </si>
  <si>
    <t>Mass/FCT [mm^2/Pa]</t>
  </si>
  <si>
    <t>d1 [mm]</t>
  </si>
  <si>
    <t>d2 [mm]</t>
  </si>
  <si>
    <t>d3 [mm]</t>
  </si>
  <si>
    <t>d4 [mm]</t>
  </si>
  <si>
    <t>d5 [mm]</t>
  </si>
  <si>
    <t>X5</t>
  </si>
  <si>
    <t>X6</t>
  </si>
  <si>
    <t>w1</t>
  </si>
  <si>
    <t>w2</t>
  </si>
  <si>
    <t>r1 [mm]</t>
  </si>
  <si>
    <t>r2 [mm]</t>
  </si>
  <si>
    <t>ECT [m^3 x 10^-6]</t>
  </si>
  <si>
    <t>Mass [mm^2]</t>
  </si>
  <si>
    <t>FCT [Pa]</t>
  </si>
  <si>
    <t>Inc_bin</t>
  </si>
  <si>
    <t>0</t>
  </si>
  <si>
    <t>LOGA</t>
  </si>
  <si>
    <t>LOGB</t>
  </si>
  <si>
    <t>EUC</t>
  </si>
  <si>
    <t>MinMaxA</t>
  </si>
  <si>
    <t>MinMaxB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</si>
</sst>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workbookViewId="0">
      <selection activeCell="P56" sqref="P56"/>
    </sheetView>
  </sheetViews>
  <sheetFormatPr defaultRowHeight="14.25" x14ac:dyDescent="0.45"/>
  <cols>
    <col min="1" max="1" width="14.86328125" bestFit="1" customWidth="1"/>
    <col min="2" max="2" width="18.73046875" bestFit="1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18</v>
      </c>
      <c r="S1" s="2" t="s">
        <v>19</v>
      </c>
      <c r="T1" s="2" t="s">
        <v>21</v>
      </c>
      <c r="U1" s="2" t="s">
        <v>22</v>
      </c>
      <c r="V1" s="2" t="s">
        <v>20</v>
      </c>
    </row>
    <row r="2" spans="1:23" x14ac:dyDescent="0.45">
      <c r="A2">
        <v>246.180368721121</v>
      </c>
      <c r="B2" s="3">
        <v>1.00054122627068E-5</v>
      </c>
      <c r="C2">
        <v>2.7144486735126292</v>
      </c>
      <c r="D2">
        <v>0.1</v>
      </c>
      <c r="E2">
        <v>10</v>
      </c>
      <c r="F2">
        <v>2.2301251262163149</v>
      </c>
      <c r="G2">
        <v>9.9406285416653137</v>
      </c>
      <c r="H2">
        <v>0</v>
      </c>
      <c r="I2">
        <v>0</v>
      </c>
      <c r="J2">
        <v>1</v>
      </c>
      <c r="K2">
        <v>1</v>
      </c>
      <c r="L2">
        <v>3.7879062079748929</v>
      </c>
      <c r="M2">
        <v>3.9195367584145941</v>
      </c>
      <c r="N2">
        <v>246.180368721121</v>
      </c>
      <c r="O2" s="3">
        <v>1.00054122627068E-5</v>
      </c>
      <c r="P2">
        <v>27227532.445526399</v>
      </c>
      <c r="Q2" t="s">
        <v>17</v>
      </c>
      <c r="R2" cm="1">
        <f t="array" ref="R2:R66">LOG(A2:A66)</f>
        <v>2.3912534178234961</v>
      </c>
      <c r="S2" cm="1">
        <f t="array" ref="S2:S66">LOG(B2:B66)</f>
        <v>-4.9997650120022872</v>
      </c>
      <c r="T2">
        <f>(MAX(R:R)-R2)/(MAX(R:R)-MIN(R:R))</f>
        <v>0.97700230405621025</v>
      </c>
      <c r="U2">
        <f>(MAX(S:S)-S2)/(MAX(S:S)-MIN(S:S))</f>
        <v>4.0609273078083707E-2</v>
      </c>
      <c r="V2">
        <f>SQRT(T2^2+U2^2)</f>
        <v>0.9778459056472415</v>
      </c>
      <c r="W2">
        <f>MIN(V2:V66)</f>
        <v>0.81577866273075372</v>
      </c>
    </row>
    <row r="3" spans="1:23" x14ac:dyDescent="0.45">
      <c r="A3">
        <v>261.40843483622803</v>
      </c>
      <c r="B3" s="3">
        <v>9.5749311108889306E-6</v>
      </c>
      <c r="C3">
        <v>0.1</v>
      </c>
      <c r="D3">
        <v>4.371710887432835</v>
      </c>
      <c r="E3">
        <v>3.4864169830423259</v>
      </c>
      <c r="F3">
        <v>9.2968972556876253</v>
      </c>
      <c r="G3">
        <v>2.365306413127255</v>
      </c>
      <c r="H3">
        <v>0.63111782673258687</v>
      </c>
      <c r="I3">
        <v>0.82114673233116564</v>
      </c>
      <c r="J3">
        <v>4.3490217295474576</v>
      </c>
      <c r="K3">
        <v>20.178065882007392</v>
      </c>
      <c r="L3">
        <v>0.74026819577042269</v>
      </c>
      <c r="M3">
        <v>0.74026819577042269</v>
      </c>
      <c r="N3">
        <v>261.40843483622803</v>
      </c>
      <c r="O3" s="3">
        <v>9.5749311108889306E-6</v>
      </c>
      <c r="P3">
        <v>2771662.55386292</v>
      </c>
      <c r="Q3" t="s">
        <v>17</v>
      </c>
      <c r="R3">
        <v>2.4173195968012542</v>
      </c>
      <c r="S3">
        <v>-5.0188643419826739</v>
      </c>
      <c r="T3">
        <f t="shared" ref="T3:U66" si="0">(MAX(R:R)-R3)/(MAX(R:R)-MIN(R:R))</f>
        <v>0.22666506791471064</v>
      </c>
      <c r="U3">
        <f t="shared" si="0"/>
        <v>0.89530186534678191</v>
      </c>
      <c r="V3">
        <f t="shared" ref="V3:V66" si="1">SQRT(T3^2+U3^2)</f>
        <v>0.92354885258236752</v>
      </c>
    </row>
    <row r="4" spans="1:23" x14ac:dyDescent="0.45">
      <c r="A4">
        <v>260.33769149232802</v>
      </c>
      <c r="B4" s="3">
        <v>9.5915794180174297E-6</v>
      </c>
      <c r="C4">
        <v>0.6924130089884164</v>
      </c>
      <c r="D4">
        <v>3.6576621497878579</v>
      </c>
      <c r="E4">
        <v>3.0692932337926688</v>
      </c>
      <c r="F4">
        <v>8.0458158327865892</v>
      </c>
      <c r="G4">
        <v>3.1470036373856018</v>
      </c>
      <c r="H4">
        <v>0.42366428332428901</v>
      </c>
      <c r="I4">
        <v>0.6363335563707524</v>
      </c>
      <c r="J4">
        <v>1.4909702482516021</v>
      </c>
      <c r="K4">
        <v>4.5135964667509079</v>
      </c>
      <c r="L4">
        <v>1.038461683010826</v>
      </c>
      <c r="M4">
        <v>1.9579932855584119</v>
      </c>
      <c r="N4">
        <v>260.33769149232802</v>
      </c>
      <c r="O4" s="3">
        <v>9.5915794180174297E-6</v>
      </c>
      <c r="P4">
        <v>3192886.9690541001</v>
      </c>
      <c r="Q4" t="s">
        <v>17</v>
      </c>
      <c r="R4">
        <v>2.4155370494850135</v>
      </c>
      <c r="S4">
        <v>-5.0181098729074165</v>
      </c>
      <c r="T4">
        <f t="shared" si="0"/>
        <v>0.2779772156484</v>
      </c>
      <c r="U4">
        <f t="shared" si="0"/>
        <v>0.86153946999675945</v>
      </c>
      <c r="V4">
        <f t="shared" si="1"/>
        <v>0.90527431797325064</v>
      </c>
    </row>
    <row r="5" spans="1:23" x14ac:dyDescent="0.45">
      <c r="A5">
        <v>263.22745795126599</v>
      </c>
      <c r="B5" s="3">
        <v>9.5503592172648205E-6</v>
      </c>
      <c r="C5">
        <v>0.1</v>
      </c>
      <c r="D5">
        <v>4.8482225320892178</v>
      </c>
      <c r="E5">
        <v>2.7266396077323072</v>
      </c>
      <c r="F5">
        <v>10</v>
      </c>
      <c r="G5">
        <v>1.554204979582178</v>
      </c>
      <c r="H5">
        <v>0.68365376130197097</v>
      </c>
      <c r="I5">
        <v>0.92177547634835577</v>
      </c>
      <c r="J5">
        <v>6.4281473547087744</v>
      </c>
      <c r="K5">
        <v>49.272226951456368</v>
      </c>
      <c r="L5">
        <v>0.26782402893480289</v>
      </c>
      <c r="M5">
        <v>0.26782402893480289</v>
      </c>
      <c r="N5">
        <v>263.22745795126599</v>
      </c>
      <c r="O5" s="3">
        <v>9.5503592172648205E-6</v>
      </c>
      <c r="P5">
        <v>2617958.5551263699</v>
      </c>
      <c r="Q5" t="s">
        <v>17</v>
      </c>
      <c r="R5">
        <v>2.4203311897091746</v>
      </c>
      <c r="S5">
        <v>-5.019980293008719</v>
      </c>
      <c r="T5">
        <f t="shared" si="0"/>
        <v>0.13997379257126563</v>
      </c>
      <c r="U5">
        <f t="shared" si="0"/>
        <v>0.94524053211021164</v>
      </c>
      <c r="V5">
        <f t="shared" si="1"/>
        <v>0.95554818096775196</v>
      </c>
    </row>
    <row r="6" spans="1:23" x14ac:dyDescent="0.45">
      <c r="A6">
        <v>247.61850831538101</v>
      </c>
      <c r="B6" s="3">
        <v>9.9439053239579101E-6</v>
      </c>
      <c r="C6">
        <v>2.517326704730126</v>
      </c>
      <c r="D6">
        <v>0.7780477606643208</v>
      </c>
      <c r="E6">
        <v>8.7707560911603331</v>
      </c>
      <c r="F6">
        <v>2.933157623331248</v>
      </c>
      <c r="G6">
        <v>8.6030567843158181</v>
      </c>
      <c r="H6">
        <v>8.6225369965813037E-2</v>
      </c>
      <c r="I6">
        <v>0.1225404684259704</v>
      </c>
      <c r="J6">
        <v>1.0124105718837131</v>
      </c>
      <c r="K6">
        <v>1.0213848925223259</v>
      </c>
      <c r="L6">
        <v>4.3636354754819271</v>
      </c>
      <c r="M6">
        <v>4.3625494357356764</v>
      </c>
      <c r="N6">
        <v>247.61850831538101</v>
      </c>
      <c r="O6" s="3">
        <v>9.9439053239579101E-6</v>
      </c>
      <c r="P6">
        <v>11443537.533317501</v>
      </c>
      <c r="Q6" t="s">
        <v>17</v>
      </c>
      <c r="R6">
        <v>2.3937831030250929</v>
      </c>
      <c r="S6">
        <v>-5.0024430192697089</v>
      </c>
      <c r="T6">
        <f t="shared" si="0"/>
        <v>0.90418315384267756</v>
      </c>
      <c r="U6">
        <f t="shared" si="0"/>
        <v>0.16044975836513584</v>
      </c>
      <c r="V6">
        <f t="shared" si="1"/>
        <v>0.91830893530027335</v>
      </c>
    </row>
    <row r="7" spans="1:23" x14ac:dyDescent="0.45">
      <c r="A7">
        <v>265.81526832318701</v>
      </c>
      <c r="B7" s="3">
        <v>9.53592560096571E-6</v>
      </c>
      <c r="C7">
        <v>0.1</v>
      </c>
      <c r="D7">
        <v>6.8541378337549217</v>
      </c>
      <c r="E7">
        <v>0.29774969046015798</v>
      </c>
      <c r="F7">
        <v>10</v>
      </c>
      <c r="G7">
        <v>0.1</v>
      </c>
      <c r="H7">
        <v>1</v>
      </c>
      <c r="I7">
        <v>1</v>
      </c>
      <c r="J7">
        <v>99.917334307115198</v>
      </c>
      <c r="K7">
        <v>99.917334307115198</v>
      </c>
      <c r="L7">
        <v>0.1675050558670966</v>
      </c>
      <c r="M7">
        <v>0.1675050558670966</v>
      </c>
      <c r="N7">
        <v>265.81526832318701</v>
      </c>
      <c r="O7" s="3">
        <v>9.53592560096571E-6</v>
      </c>
      <c r="P7">
        <v>2569747.0856356099</v>
      </c>
      <c r="Q7" t="s">
        <v>17</v>
      </c>
      <c r="R7">
        <v>2.4245799230253171</v>
      </c>
      <c r="S7">
        <v>-5.0206371459444528</v>
      </c>
      <c r="T7">
        <f t="shared" si="0"/>
        <v>1.7670373406648641E-2</v>
      </c>
      <c r="U7">
        <f t="shared" si="0"/>
        <v>0.97463461760735459</v>
      </c>
      <c r="V7">
        <f t="shared" si="1"/>
        <v>0.97479478862731139</v>
      </c>
    </row>
    <row r="8" spans="1:23" x14ac:dyDescent="0.45">
      <c r="A8">
        <v>262.35872279578399</v>
      </c>
      <c r="B8" s="3">
        <v>9.5610667529405101E-6</v>
      </c>
      <c r="C8">
        <v>0.86619773070050909</v>
      </c>
      <c r="D8">
        <v>3.5203249501962852</v>
      </c>
      <c r="E8">
        <v>2.6795242411693891</v>
      </c>
      <c r="F8">
        <v>9.4380571658362307</v>
      </c>
      <c r="G8">
        <v>2.2929900975673658</v>
      </c>
      <c r="H8">
        <v>0.36517003351092803</v>
      </c>
      <c r="I8">
        <v>0.65810921786056698</v>
      </c>
      <c r="J8">
        <v>1.282870133975581</v>
      </c>
      <c r="K8">
        <v>5.2924318891906657</v>
      </c>
      <c r="L8">
        <v>0.55330064310643434</v>
      </c>
      <c r="M8">
        <v>0.61875477130837242</v>
      </c>
      <c r="N8">
        <v>262.35872279578399</v>
      </c>
      <c r="O8" s="3">
        <v>9.5610667529405101E-6</v>
      </c>
      <c r="P8">
        <v>2976361.0390484398</v>
      </c>
      <c r="Q8" t="s">
        <v>17</v>
      </c>
      <c r="R8">
        <v>2.4188955080201584</v>
      </c>
      <c r="S8">
        <v>-5.0194936496622153</v>
      </c>
      <c r="T8">
        <f t="shared" si="0"/>
        <v>0.18130111681908015</v>
      </c>
      <c r="U8">
        <f t="shared" si="0"/>
        <v>0.92346330412574262</v>
      </c>
      <c r="V8">
        <f t="shared" si="1"/>
        <v>0.9410922213187608</v>
      </c>
    </row>
    <row r="9" spans="1:23" x14ac:dyDescent="0.45">
      <c r="A9">
        <v>256.05149241439102</v>
      </c>
      <c r="B9" s="3">
        <v>9.6716719661400995E-6</v>
      </c>
      <c r="C9">
        <v>0.1</v>
      </c>
      <c r="D9">
        <v>8.0492896146152493</v>
      </c>
      <c r="E9">
        <v>7.1394175766732637</v>
      </c>
      <c r="F9">
        <v>7.4539710102045058</v>
      </c>
      <c r="G9">
        <v>6.4466418174448217</v>
      </c>
      <c r="H9">
        <v>1</v>
      </c>
      <c r="I9">
        <v>0.99588527228891677</v>
      </c>
      <c r="J9">
        <v>99.917334307115198</v>
      </c>
      <c r="K9">
        <v>96.254136149070305</v>
      </c>
      <c r="L9">
        <v>6.5054552703826296</v>
      </c>
      <c r="M9">
        <v>6.5054552703826296</v>
      </c>
      <c r="N9">
        <v>256.05149241439102</v>
      </c>
      <c r="O9" s="3">
        <v>9.6716719661400995E-6</v>
      </c>
      <c r="P9">
        <v>3214189.2025222899</v>
      </c>
      <c r="Q9" t="s">
        <v>17</v>
      </c>
      <c r="R9">
        <v>2.4083273114941637</v>
      </c>
      <c r="S9">
        <v>-5.0144984418527399</v>
      </c>
      <c r="T9">
        <f t="shared" si="0"/>
        <v>0.48551568463438555</v>
      </c>
      <c r="U9">
        <f t="shared" si="0"/>
        <v>0.6999283887132286</v>
      </c>
      <c r="V9">
        <f t="shared" si="1"/>
        <v>0.85183638649255444</v>
      </c>
    </row>
    <row r="10" spans="1:23" x14ac:dyDescent="0.45">
      <c r="A10">
        <v>247.309873842358</v>
      </c>
      <c r="B10" s="3">
        <v>9.9562190586025504E-6</v>
      </c>
      <c r="C10">
        <v>1.867075091768946</v>
      </c>
      <c r="D10">
        <v>0.55574155202270625</v>
      </c>
      <c r="E10">
        <v>8.9421045557159733</v>
      </c>
      <c r="F10">
        <v>2.7795192168866611</v>
      </c>
      <c r="G10">
        <v>8.9648805978111881</v>
      </c>
      <c r="H10">
        <v>4.7855722657428768E-2</v>
      </c>
      <c r="I10">
        <v>9.5663641318797038E-2</v>
      </c>
      <c r="J10">
        <v>1.00567429506661</v>
      </c>
      <c r="K10">
        <v>1.014463715227325</v>
      </c>
      <c r="L10">
        <v>4.2030649760890091</v>
      </c>
      <c r="M10">
        <v>4.3043879634706563</v>
      </c>
      <c r="N10">
        <v>247.309873842358</v>
      </c>
      <c r="O10" s="3">
        <v>9.9562190586025504E-6</v>
      </c>
      <c r="P10">
        <v>13202155.6060242</v>
      </c>
      <c r="Q10" t="s">
        <v>17</v>
      </c>
      <c r="R10">
        <v>2.3932414559069821</v>
      </c>
      <c r="S10">
        <v>-5.0019055565295254</v>
      </c>
      <c r="T10">
        <f t="shared" si="0"/>
        <v>0.91977492898985347</v>
      </c>
      <c r="U10">
        <f t="shared" si="0"/>
        <v>0.13639836896419816</v>
      </c>
      <c r="V10">
        <f t="shared" si="1"/>
        <v>0.92983355233847287</v>
      </c>
    </row>
    <row r="11" spans="1:23" x14ac:dyDescent="0.45">
      <c r="A11">
        <v>248.14726187350399</v>
      </c>
      <c r="B11" s="3">
        <v>9.9253160144169701E-6</v>
      </c>
      <c r="C11">
        <v>1.8232846864170409</v>
      </c>
      <c r="D11">
        <v>0.8267685731684643</v>
      </c>
      <c r="E11">
        <v>7.7163668872187454</v>
      </c>
      <c r="F11">
        <v>3.0611426125623482</v>
      </c>
      <c r="G11">
        <v>8.3219999803838416</v>
      </c>
      <c r="H11">
        <v>0</v>
      </c>
      <c r="I11">
        <v>0.1084401147950369</v>
      </c>
      <c r="J11">
        <v>1</v>
      </c>
      <c r="K11">
        <v>1.017541835062802</v>
      </c>
      <c r="L11">
        <v>4.5094334417949424</v>
      </c>
      <c r="M11">
        <v>4.6191511530291516</v>
      </c>
      <c r="N11">
        <v>248.14726187350399</v>
      </c>
      <c r="O11" s="3">
        <v>9.9253160144169701E-6</v>
      </c>
      <c r="P11">
        <v>10383700.2620269</v>
      </c>
      <c r="Q11" t="s">
        <v>17</v>
      </c>
      <c r="R11">
        <v>2.3947094874326424</v>
      </c>
      <c r="S11">
        <v>-5.0032556567429225</v>
      </c>
      <c r="T11">
        <f t="shared" si="0"/>
        <v>0.87751638705041268</v>
      </c>
      <c r="U11">
        <f t="shared" si="0"/>
        <v>0.19681518214015029</v>
      </c>
      <c r="V11">
        <f t="shared" si="1"/>
        <v>0.89931708838588753</v>
      </c>
    </row>
    <row r="12" spans="1:23" x14ac:dyDescent="0.45">
      <c r="A12">
        <v>264.80950673853403</v>
      </c>
      <c r="B12" s="3">
        <v>9.5423967625198904E-6</v>
      </c>
      <c r="C12">
        <v>0.15058469376095349</v>
      </c>
      <c r="D12">
        <v>4.7231793097297112</v>
      </c>
      <c r="E12">
        <v>0.92908864028762972</v>
      </c>
      <c r="F12">
        <v>9.7988620109841769</v>
      </c>
      <c r="G12">
        <v>1.1356770606414011</v>
      </c>
      <c r="H12">
        <v>0.55024041787398903</v>
      </c>
      <c r="I12">
        <v>0.83377440589987062</v>
      </c>
      <c r="J12">
        <v>2.5898433966849468</v>
      </c>
      <c r="K12">
        <v>22.5337552140243</v>
      </c>
      <c r="L12">
        <v>8.689040253541061E-2</v>
      </c>
      <c r="M12">
        <v>0.143310337852839</v>
      </c>
      <c r="N12">
        <v>264.80950673853403</v>
      </c>
      <c r="O12" s="3">
        <v>9.5423967625198904E-6</v>
      </c>
      <c r="P12">
        <v>2769207.6639850899</v>
      </c>
      <c r="Q12" t="s">
        <v>17</v>
      </c>
      <c r="R12">
        <v>2.4229335723461145</v>
      </c>
      <c r="S12">
        <v>-5.0203425299075999</v>
      </c>
      <c r="T12">
        <f t="shared" si="0"/>
        <v>6.5061984559424066E-2</v>
      </c>
      <c r="U12">
        <f t="shared" si="0"/>
        <v>0.9614505873549688</v>
      </c>
      <c r="V12">
        <f t="shared" si="1"/>
        <v>0.96364946622722991</v>
      </c>
    </row>
    <row r="13" spans="1:23" x14ac:dyDescent="0.45">
      <c r="A13">
        <v>259.34455655438398</v>
      </c>
      <c r="B13" s="3">
        <v>9.6144541177242203E-6</v>
      </c>
      <c r="C13">
        <v>1.0142580161078301</v>
      </c>
      <c r="D13">
        <v>3.9547963553061778</v>
      </c>
      <c r="E13">
        <v>3.642228305549597</v>
      </c>
      <c r="F13">
        <v>8.8946430550129634</v>
      </c>
      <c r="G13">
        <v>2.7830439716934672</v>
      </c>
      <c r="H13">
        <v>0.55271256035321314</v>
      </c>
      <c r="I13">
        <v>0.68308104080698184</v>
      </c>
      <c r="J13">
        <v>2.6265322100483899</v>
      </c>
      <c r="K13">
        <v>6.3996603318348493</v>
      </c>
      <c r="L13">
        <v>1.936725376380434</v>
      </c>
      <c r="M13">
        <v>2.6573627928285228</v>
      </c>
      <c r="N13">
        <v>259.34455655438398</v>
      </c>
      <c r="O13" s="3">
        <v>9.6144541177242203E-6</v>
      </c>
      <c r="P13">
        <v>3226464.5007629101</v>
      </c>
      <c r="Q13" t="s">
        <v>17</v>
      </c>
      <c r="R13">
        <v>2.4138771369133583</v>
      </c>
      <c r="S13">
        <v>-5.0170753687723773</v>
      </c>
      <c r="T13">
        <f t="shared" si="0"/>
        <v>0.32575921746443376</v>
      </c>
      <c r="U13">
        <f t="shared" si="0"/>
        <v>0.81524554126746074</v>
      </c>
      <c r="V13">
        <f t="shared" si="1"/>
        <v>0.87792047494036463</v>
      </c>
    </row>
    <row r="14" spans="1:23" x14ac:dyDescent="0.45">
      <c r="A14">
        <v>261.76469127256502</v>
      </c>
      <c r="B14" s="3">
        <v>9.5680268283848105E-6</v>
      </c>
      <c r="C14">
        <v>0.1</v>
      </c>
      <c r="D14">
        <v>4.4184691967855416</v>
      </c>
      <c r="E14">
        <v>3.5324877063136708</v>
      </c>
      <c r="F14">
        <v>9.390537898267679</v>
      </c>
      <c r="G14">
        <v>2.292898355948108</v>
      </c>
      <c r="H14">
        <v>0.62030829422345912</v>
      </c>
      <c r="I14">
        <v>0.83290813996264768</v>
      </c>
      <c r="J14">
        <v>4.032005676872144</v>
      </c>
      <c r="K14">
        <v>22.363294530692219</v>
      </c>
      <c r="L14">
        <v>0.57061071361806182</v>
      </c>
      <c r="M14">
        <v>0.57061071361806182</v>
      </c>
      <c r="N14">
        <v>261.76469127256502</v>
      </c>
      <c r="O14" s="3">
        <v>9.5680268283848105E-6</v>
      </c>
      <c r="P14">
        <v>2721886.49524925</v>
      </c>
      <c r="Q14" t="s">
        <v>17</v>
      </c>
      <c r="R14">
        <v>2.417911065363521</v>
      </c>
      <c r="S14">
        <v>-5.0191776156086796</v>
      </c>
      <c r="T14">
        <f t="shared" si="0"/>
        <v>0.20963913992371028</v>
      </c>
      <c r="U14">
        <f t="shared" si="0"/>
        <v>0.90932082034547201</v>
      </c>
      <c r="V14">
        <f t="shared" si="1"/>
        <v>0.93317357619132957</v>
      </c>
    </row>
    <row r="15" spans="1:23" x14ac:dyDescent="0.45">
      <c r="A15">
        <v>264.43628749712701</v>
      </c>
      <c r="B15" s="3">
        <v>9.5462426688008505E-6</v>
      </c>
      <c r="C15">
        <v>0.23259308674215889</v>
      </c>
      <c r="D15">
        <v>4.8895510398928757</v>
      </c>
      <c r="E15">
        <v>1.288633608337111</v>
      </c>
      <c r="F15">
        <v>10</v>
      </c>
      <c r="G15">
        <v>0.95792064857705705</v>
      </c>
      <c r="H15">
        <v>0.63209429512524373</v>
      </c>
      <c r="I15">
        <v>0.87010866967538048</v>
      </c>
      <c r="J15">
        <v>4.3792368937662118</v>
      </c>
      <c r="K15">
        <v>31.052397490551961</v>
      </c>
      <c r="L15">
        <v>0.18914150558894161</v>
      </c>
      <c r="M15">
        <v>0.18914150558894161</v>
      </c>
      <c r="N15">
        <v>264.43628749712701</v>
      </c>
      <c r="O15" s="3">
        <v>9.5462426688008505E-6</v>
      </c>
      <c r="P15">
        <v>2704679.7239409899</v>
      </c>
      <c r="Q15" t="s">
        <v>17</v>
      </c>
      <c r="R15">
        <v>2.4223210513370979</v>
      </c>
      <c r="S15">
        <v>-5.0201675299130386</v>
      </c>
      <c r="T15">
        <f t="shared" si="0"/>
        <v>8.2693925220014411E-2</v>
      </c>
      <c r="U15">
        <f t="shared" si="0"/>
        <v>0.95361935981179424</v>
      </c>
      <c r="V15">
        <f t="shared" si="1"/>
        <v>0.95719808225682823</v>
      </c>
    </row>
    <row r="16" spans="1:23" x14ac:dyDescent="0.45">
      <c r="A16">
        <v>254.647919849988</v>
      </c>
      <c r="B16" s="3">
        <v>9.7185881555620402E-6</v>
      </c>
      <c r="C16">
        <v>1.195338295859883</v>
      </c>
      <c r="D16">
        <v>2.590867741968558</v>
      </c>
      <c r="E16">
        <v>5.7421859927539174</v>
      </c>
      <c r="F16">
        <v>7.0056696825814786</v>
      </c>
      <c r="G16">
        <v>5.2488834336021624</v>
      </c>
      <c r="H16">
        <v>0.3498327026115533</v>
      </c>
      <c r="I16">
        <v>0.4544038897214368</v>
      </c>
      <c r="J16">
        <v>1.2444059590813721</v>
      </c>
      <c r="K16">
        <v>1.6541951397503909</v>
      </c>
      <c r="L16">
        <v>4.0291804796954613</v>
      </c>
      <c r="M16">
        <v>6.9775149757070514</v>
      </c>
      <c r="N16">
        <v>254.647919849988</v>
      </c>
      <c r="O16" s="3">
        <v>9.7185881555620402E-6</v>
      </c>
      <c r="P16">
        <v>4191804.4445795901</v>
      </c>
      <c r="Q16" t="s">
        <v>17</v>
      </c>
      <c r="R16">
        <v>2.4059401328924777</v>
      </c>
      <c r="S16">
        <v>-5.0123968215741321</v>
      </c>
      <c r="T16">
        <f t="shared" si="0"/>
        <v>0.55423266059367815</v>
      </c>
      <c r="U16">
        <f t="shared" si="0"/>
        <v>0.60588114801251991</v>
      </c>
      <c r="V16">
        <f t="shared" si="1"/>
        <v>0.82113689941794499</v>
      </c>
    </row>
    <row r="17" spans="1:22" x14ac:dyDescent="0.45">
      <c r="A17">
        <v>258.757881311929</v>
      </c>
      <c r="B17" s="3">
        <v>9.6211799670266597E-6</v>
      </c>
      <c r="C17">
        <v>1.0564676524135579</v>
      </c>
      <c r="D17">
        <v>3.936772910854593</v>
      </c>
      <c r="E17">
        <v>3.878759886444699</v>
      </c>
      <c r="F17">
        <v>8.115457329118799</v>
      </c>
      <c r="G17">
        <v>3.094837452822905</v>
      </c>
      <c r="H17">
        <v>0.56510591286113454</v>
      </c>
      <c r="I17">
        <v>0.70088964657277364</v>
      </c>
      <c r="J17">
        <v>2.8235357971457029</v>
      </c>
      <c r="K17">
        <v>7.3593637094519089</v>
      </c>
      <c r="L17">
        <v>2.3221320761190491</v>
      </c>
      <c r="M17">
        <v>3.5444507779471759</v>
      </c>
      <c r="N17">
        <v>258.757881311929</v>
      </c>
      <c r="O17" s="3">
        <v>9.6211799670266597E-6</v>
      </c>
      <c r="P17">
        <v>3245734.1916758399</v>
      </c>
      <c r="Q17" t="s">
        <v>17</v>
      </c>
      <c r="R17">
        <v>2.412893586515811</v>
      </c>
      <c r="S17">
        <v>-5.016771661668745</v>
      </c>
      <c r="T17">
        <f t="shared" si="0"/>
        <v>0.35407155612869345</v>
      </c>
      <c r="U17">
        <f t="shared" si="0"/>
        <v>0.801654686930663</v>
      </c>
      <c r="V17">
        <f t="shared" si="1"/>
        <v>0.87636573640078697</v>
      </c>
    </row>
    <row r="18" spans="1:22" x14ac:dyDescent="0.45">
      <c r="A18">
        <v>259.59203129431398</v>
      </c>
      <c r="B18" s="3">
        <v>9.6053944889384506E-6</v>
      </c>
      <c r="C18">
        <v>0.74049460744346007</v>
      </c>
      <c r="D18">
        <v>3.5144419606806618</v>
      </c>
      <c r="E18">
        <v>3.3772628959647402</v>
      </c>
      <c r="F18">
        <v>7.7865313389275812</v>
      </c>
      <c r="G18">
        <v>3.4390794582094002</v>
      </c>
      <c r="H18">
        <v>0.41072083152989042</v>
      </c>
      <c r="I18">
        <v>0.61242057991178789</v>
      </c>
      <c r="J18">
        <v>1.4348689710702149</v>
      </c>
      <c r="K18">
        <v>3.8197244014672069</v>
      </c>
      <c r="L18">
        <v>1.2672367280434751</v>
      </c>
      <c r="M18">
        <v>2.525092409538626</v>
      </c>
      <c r="N18">
        <v>259.59203129431398</v>
      </c>
      <c r="O18" s="3">
        <v>9.6053944889384506E-6</v>
      </c>
      <c r="P18">
        <v>3286975.1485494999</v>
      </c>
      <c r="Q18" t="s">
        <v>17</v>
      </c>
      <c r="R18">
        <v>2.4142913567800095</v>
      </c>
      <c r="S18">
        <v>-5.0174847941702225</v>
      </c>
      <c r="T18">
        <f t="shared" si="0"/>
        <v>0.31383554464061097</v>
      </c>
      <c r="U18">
        <f t="shared" si="0"/>
        <v>0.83356727585104928</v>
      </c>
      <c r="V18">
        <f t="shared" si="1"/>
        <v>0.89068914467933669</v>
      </c>
    </row>
    <row r="19" spans="1:22" x14ac:dyDescent="0.45">
      <c r="A19">
        <v>246.61740481440501</v>
      </c>
      <c r="B19" s="3">
        <v>9.9857235822161308E-6</v>
      </c>
      <c r="C19">
        <v>2.2235024625039812</v>
      </c>
      <c r="D19">
        <v>0.31482625442159978</v>
      </c>
      <c r="E19">
        <v>9.3794728056398498</v>
      </c>
      <c r="F19">
        <v>2.3712006988862102</v>
      </c>
      <c r="G19">
        <v>9.4206215892639573</v>
      </c>
      <c r="H19">
        <v>0</v>
      </c>
      <c r="I19">
        <v>1.9661216919629961E-2</v>
      </c>
      <c r="J19">
        <v>1</v>
      </c>
      <c r="K19">
        <v>1.0020349568819391</v>
      </c>
      <c r="L19">
        <v>3.9583070714314341</v>
      </c>
      <c r="M19">
        <v>4.083516715776689</v>
      </c>
      <c r="N19">
        <v>246.61740481440501</v>
      </c>
      <c r="O19" s="3">
        <v>9.9857235822161308E-6</v>
      </c>
      <c r="P19">
        <v>18676639.308833499</v>
      </c>
      <c r="Q19" t="s">
        <v>17</v>
      </c>
      <c r="R19">
        <v>2.3920237233064277</v>
      </c>
      <c r="S19">
        <v>-5.0006204599492188</v>
      </c>
      <c r="T19">
        <f t="shared" si="0"/>
        <v>0.95482840248280754</v>
      </c>
      <c r="U19">
        <f t="shared" si="0"/>
        <v>7.8890460117876246E-2</v>
      </c>
      <c r="V19">
        <f t="shared" si="1"/>
        <v>0.95808192910913448</v>
      </c>
    </row>
    <row r="20" spans="1:22" x14ac:dyDescent="0.45">
      <c r="A20">
        <v>260.01370930616099</v>
      </c>
      <c r="B20" s="3">
        <v>9.5977518285675299E-6</v>
      </c>
      <c r="C20">
        <v>0.98448373527177679</v>
      </c>
      <c r="D20">
        <v>4.6850035190472124</v>
      </c>
      <c r="E20">
        <v>2.6196813273074691</v>
      </c>
      <c r="F20">
        <v>7.9550901569989296</v>
      </c>
      <c r="G20">
        <v>2.6316546220840609</v>
      </c>
      <c r="H20">
        <v>0.57982765048356111</v>
      </c>
      <c r="I20">
        <v>0.70282993718777553</v>
      </c>
      <c r="J20">
        <v>3.0885890295365068</v>
      </c>
      <c r="K20">
        <v>7.4737099619728946</v>
      </c>
      <c r="L20">
        <v>1.7026208825297831</v>
      </c>
      <c r="M20">
        <v>3.7788056284160021</v>
      </c>
      <c r="N20">
        <v>260.01370930616099</v>
      </c>
      <c r="O20" s="3">
        <v>9.5977518285675299E-6</v>
      </c>
      <c r="P20">
        <v>3220425.2345417999</v>
      </c>
      <c r="Q20" t="s">
        <v>17</v>
      </c>
      <c r="R20">
        <v>2.4149962468902553</v>
      </c>
      <c r="S20">
        <v>-5.0178304839177787</v>
      </c>
      <c r="T20">
        <f t="shared" si="0"/>
        <v>0.29354468046920346</v>
      </c>
      <c r="U20">
        <f t="shared" si="0"/>
        <v>0.84903684817442115</v>
      </c>
      <c r="V20">
        <f t="shared" si="1"/>
        <v>0.89834962514030237</v>
      </c>
    </row>
    <row r="21" spans="1:22" x14ac:dyDescent="0.45">
      <c r="A21">
        <v>245.727914225766</v>
      </c>
      <c r="B21" s="3">
        <v>1.0026340752933799E-5</v>
      </c>
      <c r="C21">
        <v>1.791214374663578</v>
      </c>
      <c r="D21">
        <v>0.3346399065929454</v>
      </c>
      <c r="E21">
        <v>8.4871485167520824</v>
      </c>
      <c r="F21">
        <v>1.173761630836593</v>
      </c>
      <c r="G21">
        <v>10</v>
      </c>
      <c r="H21">
        <v>0</v>
      </c>
      <c r="I21">
        <v>0</v>
      </c>
      <c r="J21">
        <v>1</v>
      </c>
      <c r="K21">
        <v>1</v>
      </c>
      <c r="L21">
        <v>3.9736171532651881</v>
      </c>
      <c r="M21">
        <v>4.0938883832607811</v>
      </c>
      <c r="N21">
        <v>245.727914225766</v>
      </c>
      <c r="O21" s="3">
        <v>1.0026340752933799E-5</v>
      </c>
      <c r="P21">
        <v>20080675.3645868</v>
      </c>
      <c r="Q21" t="s">
        <v>17</v>
      </c>
      <c r="R21">
        <v>2.3904544943132762</v>
      </c>
      <c r="S21">
        <v>-4.9988575396387755</v>
      </c>
      <c r="T21">
        <f t="shared" si="0"/>
        <v>1</v>
      </c>
      <c r="U21">
        <f t="shared" si="0"/>
        <v>0</v>
      </c>
      <c r="V21">
        <f t="shared" si="1"/>
        <v>1</v>
      </c>
    </row>
    <row r="22" spans="1:22" x14ac:dyDescent="0.45">
      <c r="A22">
        <v>255.77207624529001</v>
      </c>
      <c r="B22" s="3">
        <v>9.6882572607469099E-6</v>
      </c>
      <c r="C22">
        <v>1.49599423090001</v>
      </c>
      <c r="D22">
        <v>2.8974249543080899</v>
      </c>
      <c r="E22">
        <v>5.3595343902340904</v>
      </c>
      <c r="F22">
        <v>6.8997924360976057</v>
      </c>
      <c r="G22">
        <v>4.7617406838701166</v>
      </c>
      <c r="H22">
        <v>0.28372681327245319</v>
      </c>
      <c r="I22">
        <v>0.45548947802218998</v>
      </c>
      <c r="J22">
        <v>1.128622854150181</v>
      </c>
      <c r="K22">
        <v>1.660843120590324</v>
      </c>
      <c r="L22">
        <v>3.2254103838699848</v>
      </c>
      <c r="M22">
        <v>6.8575660142994037</v>
      </c>
      <c r="N22">
        <v>255.77207624529001</v>
      </c>
      <c r="O22" s="3">
        <v>9.6882572607469099E-6</v>
      </c>
      <c r="P22">
        <v>3873339.9668661598</v>
      </c>
      <c r="Q22" t="s">
        <v>17</v>
      </c>
      <c r="R22">
        <v>2.4078531289051588</v>
      </c>
      <c r="S22">
        <v>-5.0137543375116405</v>
      </c>
      <c r="T22">
        <f t="shared" si="0"/>
        <v>0.49916543566095323</v>
      </c>
      <c r="U22">
        <f t="shared" si="0"/>
        <v>0.66662981390114218</v>
      </c>
      <c r="V22">
        <f t="shared" si="1"/>
        <v>0.83280336270962585</v>
      </c>
    </row>
    <row r="23" spans="1:22" x14ac:dyDescent="0.45">
      <c r="A23">
        <v>257.53350598266098</v>
      </c>
      <c r="B23" s="3">
        <v>9.6475297670303192E-6</v>
      </c>
      <c r="C23">
        <v>0.94778704096124033</v>
      </c>
      <c r="D23">
        <v>3.2211582131189709</v>
      </c>
      <c r="E23">
        <v>4.2750077040447314</v>
      </c>
      <c r="F23">
        <v>7.368445563125694</v>
      </c>
      <c r="G23">
        <v>4.0629046457197262</v>
      </c>
      <c r="H23">
        <v>0.404721418275447</v>
      </c>
      <c r="I23">
        <v>0.56185368607924757</v>
      </c>
      <c r="J23">
        <v>1.4110396596092909</v>
      </c>
      <c r="K23">
        <v>2.7696529254896491</v>
      </c>
      <c r="L23">
        <v>2.284281864357228</v>
      </c>
      <c r="M23">
        <v>4.3898156066952083</v>
      </c>
      <c r="N23">
        <v>257.53350598266098</v>
      </c>
      <c r="O23" s="3">
        <v>9.6475297670303192E-6</v>
      </c>
      <c r="P23">
        <v>3543137.78427186</v>
      </c>
      <c r="Q23" t="s">
        <v>17</v>
      </c>
      <c r="R23">
        <v>2.4108337402383437</v>
      </c>
      <c r="S23">
        <v>-5.0155838727579063</v>
      </c>
      <c r="T23">
        <f t="shared" si="0"/>
        <v>0.41336599142087621</v>
      </c>
      <c r="U23">
        <f t="shared" si="0"/>
        <v>0.74850128394138238</v>
      </c>
      <c r="V23">
        <f t="shared" si="1"/>
        <v>0.85505883711313213</v>
      </c>
    </row>
    <row r="24" spans="1:22" x14ac:dyDescent="0.45">
      <c r="A24">
        <v>248.944293508394</v>
      </c>
      <c r="B24" s="3">
        <v>9.8856311069885898E-6</v>
      </c>
      <c r="C24">
        <v>6.3426508871539662</v>
      </c>
      <c r="D24">
        <v>1.4504158672759491</v>
      </c>
      <c r="E24">
        <v>9.9403085901311581</v>
      </c>
      <c r="F24">
        <v>4.0643565429554158</v>
      </c>
      <c r="G24">
        <v>5.1950745523243667</v>
      </c>
      <c r="H24">
        <v>0</v>
      </c>
      <c r="I24">
        <v>0.2090452868411404</v>
      </c>
      <c r="J24">
        <v>1</v>
      </c>
      <c r="K24">
        <v>1.0597415876953049</v>
      </c>
      <c r="L24">
        <v>8.2029798614055327</v>
      </c>
      <c r="M24">
        <v>4.4911765945423783</v>
      </c>
      <c r="N24">
        <v>248.944293508394</v>
      </c>
      <c r="O24" s="3">
        <v>9.8856311069885898E-6</v>
      </c>
      <c r="P24">
        <v>7393218.3415336898</v>
      </c>
      <c r="Q24" t="s">
        <v>17</v>
      </c>
      <c r="R24">
        <v>2.3961021754951095</v>
      </c>
      <c r="S24">
        <v>-5.0049955997409512</v>
      </c>
      <c r="T24">
        <f t="shared" si="0"/>
        <v>0.83742667108205127</v>
      </c>
      <c r="U24">
        <f t="shared" si="0"/>
        <v>0.27467741044407812</v>
      </c>
      <c r="V24">
        <f t="shared" si="1"/>
        <v>0.8813234986359042</v>
      </c>
    </row>
    <row r="25" spans="1:22" x14ac:dyDescent="0.45">
      <c r="A25">
        <v>258.506474368113</v>
      </c>
      <c r="B25" s="3">
        <v>9.6281349661362692E-6</v>
      </c>
      <c r="C25">
        <v>0.70513764094841114</v>
      </c>
      <c r="D25">
        <v>3.66125246098574</v>
      </c>
      <c r="E25">
        <v>4.0263006009394502</v>
      </c>
      <c r="F25">
        <v>8.1598509856782435</v>
      </c>
      <c r="G25">
        <v>3.3494464676288231</v>
      </c>
      <c r="H25">
        <v>0.49810725689952479</v>
      </c>
      <c r="I25">
        <v>0.6289461841270968</v>
      </c>
      <c r="J25">
        <v>1.9817638211025079</v>
      </c>
      <c r="K25">
        <v>4.2827860185798423</v>
      </c>
      <c r="L25">
        <v>2.3804562223611541</v>
      </c>
      <c r="M25">
        <v>3.1972989591680081</v>
      </c>
      <c r="N25">
        <v>258.506474368113</v>
      </c>
      <c r="O25" s="3">
        <v>9.6281349661362692E-6</v>
      </c>
      <c r="P25">
        <v>3263132.4806067701</v>
      </c>
      <c r="Q25" t="s">
        <v>17</v>
      </c>
      <c r="R25">
        <v>2.4124714245948899</v>
      </c>
      <c r="S25">
        <v>-5.0164578304620893</v>
      </c>
      <c r="T25">
        <f t="shared" si="0"/>
        <v>0.36622384777137607</v>
      </c>
      <c r="U25">
        <f t="shared" si="0"/>
        <v>0.78761078026865705</v>
      </c>
      <c r="V25">
        <f t="shared" si="1"/>
        <v>0.86859118569777971</v>
      </c>
    </row>
    <row r="26" spans="1:22" x14ac:dyDescent="0.45">
      <c r="A26">
        <v>251.12856246909899</v>
      </c>
      <c r="B26" s="3">
        <v>9.8200769101338597E-6</v>
      </c>
      <c r="C26">
        <v>1.6781046214224269</v>
      </c>
      <c r="D26">
        <v>1.6446133027570731</v>
      </c>
      <c r="E26">
        <v>6.2333660877379469</v>
      </c>
      <c r="F26">
        <v>4.4921428099754817</v>
      </c>
      <c r="G26">
        <v>6.7204340363561066</v>
      </c>
      <c r="H26">
        <v>9.3432952632242425E-2</v>
      </c>
      <c r="I26">
        <v>0.25847423301300049</v>
      </c>
      <c r="J26">
        <v>1.0139623088699521</v>
      </c>
      <c r="K26">
        <v>1.0999061399911521</v>
      </c>
      <c r="L26">
        <v>5.1566058169040767</v>
      </c>
      <c r="M26">
        <v>5.2956233642486419</v>
      </c>
      <c r="N26">
        <v>251.12856246909899</v>
      </c>
      <c r="O26" s="3">
        <v>9.8200769101338597E-6</v>
      </c>
      <c r="P26">
        <v>6099047.6919484604</v>
      </c>
      <c r="Q26" t="s">
        <v>17</v>
      </c>
      <c r="R26">
        <v>2.3998961106311594</v>
      </c>
      <c r="S26">
        <v>-5.007885110836682</v>
      </c>
      <c r="T26">
        <f t="shared" si="0"/>
        <v>0.72821500616895241</v>
      </c>
      <c r="U26">
        <f t="shared" si="0"/>
        <v>0.40398266520094084</v>
      </c>
      <c r="V26">
        <f t="shared" si="1"/>
        <v>0.8327659268921267</v>
      </c>
    </row>
    <row r="27" spans="1:22" x14ac:dyDescent="0.45">
      <c r="A27">
        <v>249.49395345885301</v>
      </c>
      <c r="B27" s="3">
        <v>9.8727757413040803E-6</v>
      </c>
      <c r="C27">
        <v>6.1108921209618101</v>
      </c>
      <c r="D27">
        <v>1.35631677879292</v>
      </c>
      <c r="E27">
        <v>9.6498549216589584</v>
      </c>
      <c r="F27">
        <v>5.2994415380462083</v>
      </c>
      <c r="G27">
        <v>6.3922199836021463</v>
      </c>
      <c r="H27">
        <v>0</v>
      </c>
      <c r="I27">
        <v>0.1900407955887026</v>
      </c>
      <c r="J27">
        <v>1</v>
      </c>
      <c r="K27">
        <v>1.0485397702332351</v>
      </c>
      <c r="L27">
        <v>7.5575316338622986</v>
      </c>
      <c r="M27">
        <v>4.5069953044502817</v>
      </c>
      <c r="N27">
        <v>249.49395345885301</v>
      </c>
      <c r="O27" s="3">
        <v>9.8727757413040803E-6</v>
      </c>
      <c r="P27">
        <v>8334310.8277265802</v>
      </c>
      <c r="Q27" t="s">
        <v>17</v>
      </c>
      <c r="R27">
        <v>2.3970600248641176</v>
      </c>
      <c r="S27">
        <v>-5.0055607278112753</v>
      </c>
      <c r="T27">
        <f t="shared" si="0"/>
        <v>0.80985415848652698</v>
      </c>
      <c r="U27">
        <f t="shared" si="0"/>
        <v>0.29996681985713486</v>
      </c>
      <c r="V27">
        <f t="shared" si="1"/>
        <v>0.86362251651582334</v>
      </c>
    </row>
    <row r="28" spans="1:22" x14ac:dyDescent="0.45">
      <c r="A28">
        <v>251.79100613374101</v>
      </c>
      <c r="B28" s="3">
        <v>9.7975198724816499E-6</v>
      </c>
      <c r="C28">
        <v>1.5499740600671159</v>
      </c>
      <c r="D28">
        <v>2.0481964404872248</v>
      </c>
      <c r="E28">
        <v>6.9499566303713873</v>
      </c>
      <c r="F28">
        <v>5.508761138198313</v>
      </c>
      <c r="G28">
        <v>6.3456338996782842</v>
      </c>
      <c r="H28">
        <v>0.29878439787141697</v>
      </c>
      <c r="I28">
        <v>0.3547333661360107</v>
      </c>
      <c r="J28">
        <v>1.1491924879648121</v>
      </c>
      <c r="K28">
        <v>1.2561133000953379</v>
      </c>
      <c r="L28">
        <v>5.9196981807472033</v>
      </c>
      <c r="M28">
        <v>6.0795692565164572</v>
      </c>
      <c r="N28">
        <v>251.79100613374101</v>
      </c>
      <c r="O28" s="3">
        <v>9.7975198724816499E-6</v>
      </c>
      <c r="P28">
        <v>5246821.83556253</v>
      </c>
      <c r="Q28" t="s">
        <v>17</v>
      </c>
      <c r="R28">
        <v>2.401040213237108</v>
      </c>
      <c r="S28">
        <v>-5.0088838469618402</v>
      </c>
      <c r="T28">
        <f t="shared" si="0"/>
        <v>0.6952810349895816</v>
      </c>
      <c r="U28">
        <f t="shared" si="0"/>
        <v>0.4486759800282385</v>
      </c>
      <c r="V28">
        <f t="shared" si="1"/>
        <v>0.82748163282968645</v>
      </c>
    </row>
    <row r="29" spans="1:22" x14ac:dyDescent="0.45">
      <c r="A29">
        <v>256.90887017511</v>
      </c>
      <c r="B29" s="3">
        <v>9.6637962817465902E-6</v>
      </c>
      <c r="C29">
        <v>1.1509902780710459</v>
      </c>
      <c r="D29">
        <v>3.5595205637426939</v>
      </c>
      <c r="E29">
        <v>5.094444282567431</v>
      </c>
      <c r="F29">
        <v>8.2851711070541896</v>
      </c>
      <c r="G29">
        <v>3.7453686966795519</v>
      </c>
      <c r="H29">
        <v>0.55355094276037464</v>
      </c>
      <c r="I29">
        <v>0.64489309200965228</v>
      </c>
      <c r="J29">
        <v>2.6391646180759598</v>
      </c>
      <c r="K29">
        <v>4.8013351487936049</v>
      </c>
      <c r="L29">
        <v>3.3021087607459831</v>
      </c>
      <c r="M29">
        <v>4.2534587604781278</v>
      </c>
      <c r="N29">
        <v>256.90887017511</v>
      </c>
      <c r="O29" s="3">
        <v>9.6637962817465902E-6</v>
      </c>
      <c r="P29">
        <v>3458837.7047233698</v>
      </c>
      <c r="Q29" t="s">
        <v>17</v>
      </c>
      <c r="R29">
        <v>2.4097790992122405</v>
      </c>
      <c r="S29">
        <v>-5.0148522337980523</v>
      </c>
      <c r="T29">
        <f t="shared" si="0"/>
        <v>0.44372473457701522</v>
      </c>
      <c r="U29">
        <f t="shared" si="0"/>
        <v>0.71576053335774925</v>
      </c>
      <c r="V29">
        <f t="shared" si="1"/>
        <v>0.84214296956515178</v>
      </c>
    </row>
    <row r="30" spans="1:22" x14ac:dyDescent="0.45">
      <c r="A30">
        <v>253.85518464494601</v>
      </c>
      <c r="B30" s="3">
        <v>9.7390090500376708E-6</v>
      </c>
      <c r="C30">
        <v>4.4474576687506158</v>
      </c>
      <c r="D30">
        <v>7.5005628465726231</v>
      </c>
      <c r="E30">
        <v>6.9442674249920788</v>
      </c>
      <c r="F30">
        <v>5.3357590219388618</v>
      </c>
      <c r="G30">
        <v>5.4300820687381393</v>
      </c>
      <c r="H30">
        <v>0.13408675753082999</v>
      </c>
      <c r="I30">
        <v>0.20173800989181981</v>
      </c>
      <c r="J30">
        <v>1.0249237109297891</v>
      </c>
      <c r="K30">
        <v>1.055202050398397</v>
      </c>
      <c r="L30">
        <v>9.9353219991167094</v>
      </c>
      <c r="M30">
        <v>10.14392034155785</v>
      </c>
      <c r="N30">
        <v>253.85518464494601</v>
      </c>
      <c r="O30" s="3">
        <v>9.7390090500376708E-6</v>
      </c>
      <c r="P30">
        <v>4495573.6060030898</v>
      </c>
      <c r="Q30" t="s">
        <v>17</v>
      </c>
      <c r="R30">
        <v>2.4045860377020065</v>
      </c>
      <c r="S30">
        <v>-5.0114852305951665</v>
      </c>
      <c r="T30">
        <f t="shared" si="0"/>
        <v>0.59321144776296653</v>
      </c>
      <c r="U30">
        <f t="shared" si="0"/>
        <v>0.56508756741566113</v>
      </c>
      <c r="V30">
        <f t="shared" si="1"/>
        <v>0.81928247912718366</v>
      </c>
    </row>
    <row r="31" spans="1:22" x14ac:dyDescent="0.45">
      <c r="A31">
        <v>249.372872693918</v>
      </c>
      <c r="B31" s="3">
        <v>9.8828426814024404E-6</v>
      </c>
      <c r="C31">
        <v>1.821824853031407</v>
      </c>
      <c r="D31">
        <v>1.3683799252816731</v>
      </c>
      <c r="E31">
        <v>8.6013569681174182</v>
      </c>
      <c r="F31">
        <v>4.3637377393426942</v>
      </c>
      <c r="G31">
        <v>7.7499411303134158</v>
      </c>
      <c r="H31">
        <v>0.2494699092650082</v>
      </c>
      <c r="I31">
        <v>0.2392657520221925</v>
      </c>
      <c r="J31">
        <v>1.0911720065794219</v>
      </c>
      <c r="K31">
        <v>1.0821077492320781</v>
      </c>
      <c r="L31">
        <v>4.3509163042719026</v>
      </c>
      <c r="M31">
        <v>4.5823484898888074</v>
      </c>
      <c r="N31">
        <v>249.372872693918</v>
      </c>
      <c r="O31" s="3">
        <v>9.8828426814024404E-6</v>
      </c>
      <c r="P31">
        <v>7648626.9084501099</v>
      </c>
      <c r="Q31" t="s">
        <v>17</v>
      </c>
      <c r="R31">
        <v>2.396849208243923</v>
      </c>
      <c r="S31">
        <v>-5.0051181178337751</v>
      </c>
      <c r="T31">
        <f t="shared" si="0"/>
        <v>0.81592269504742831</v>
      </c>
      <c r="U31">
        <f t="shared" si="0"/>
        <v>0.28016007954624222</v>
      </c>
      <c r="V31">
        <f t="shared" si="1"/>
        <v>0.86268158347377244</v>
      </c>
    </row>
    <row r="32" spans="1:22" x14ac:dyDescent="0.45">
      <c r="A32">
        <v>251.59286438762501</v>
      </c>
      <c r="B32" s="3">
        <v>9.8090955837525003E-6</v>
      </c>
      <c r="C32">
        <v>1.2235649695423949</v>
      </c>
      <c r="D32">
        <v>2.044665241983314</v>
      </c>
      <c r="E32">
        <v>7.3565473850895913</v>
      </c>
      <c r="F32">
        <v>5.7120206281779407</v>
      </c>
      <c r="G32">
        <v>6.6718372451409307</v>
      </c>
      <c r="H32">
        <v>0.33233116699337811</v>
      </c>
      <c r="I32">
        <v>0.34961765285167301</v>
      </c>
      <c r="J32">
        <v>1.2066399737400211</v>
      </c>
      <c r="K32">
        <v>1.243904172251906</v>
      </c>
      <c r="L32">
        <v>5.0734165477450839</v>
      </c>
      <c r="M32">
        <v>5.3111207783307517</v>
      </c>
      <c r="N32">
        <v>251.59286438762501</v>
      </c>
      <c r="O32" s="3">
        <v>9.8090955837525003E-6</v>
      </c>
      <c r="P32">
        <v>5424888.1942990702</v>
      </c>
      <c r="Q32" t="s">
        <v>17</v>
      </c>
      <c r="R32">
        <v>2.4006983195990461</v>
      </c>
      <c r="S32">
        <v>-5.00837103350616</v>
      </c>
      <c r="T32">
        <f t="shared" si="0"/>
        <v>0.70512273551870941</v>
      </c>
      <c r="U32">
        <f t="shared" si="0"/>
        <v>0.4257276429799921</v>
      </c>
      <c r="V32">
        <f t="shared" si="1"/>
        <v>0.82367596671427012</v>
      </c>
    </row>
    <row r="33" spans="1:22" x14ac:dyDescent="0.45">
      <c r="A33">
        <v>252.781983410256</v>
      </c>
      <c r="B33" s="3">
        <v>9.7677657851442605E-6</v>
      </c>
      <c r="C33">
        <v>1.6072279597487991</v>
      </c>
      <c r="D33">
        <v>2.2607394122358691</v>
      </c>
      <c r="E33">
        <v>6.5150875574264617</v>
      </c>
      <c r="F33">
        <v>6.0208855318222536</v>
      </c>
      <c r="G33">
        <v>5.7488868523994601</v>
      </c>
      <c r="H33">
        <v>0.34833770928367308</v>
      </c>
      <c r="I33">
        <v>0.41854461466668602</v>
      </c>
      <c r="J33">
        <v>1.240937998072557</v>
      </c>
      <c r="K33">
        <v>1.467980801922093</v>
      </c>
      <c r="L33">
        <v>5.5635477155987632</v>
      </c>
      <c r="M33">
        <v>6.5557160605948512</v>
      </c>
      <c r="N33">
        <v>252.781983410256</v>
      </c>
      <c r="O33" s="3">
        <v>9.7677657851442605E-6</v>
      </c>
      <c r="P33">
        <v>4771442.1292535802</v>
      </c>
      <c r="Q33" t="s">
        <v>17</v>
      </c>
      <c r="R33">
        <v>2.4027461171406448</v>
      </c>
      <c r="S33">
        <v>-5.0102047626011483</v>
      </c>
      <c r="T33">
        <f t="shared" si="0"/>
        <v>0.64617513338447974</v>
      </c>
      <c r="U33">
        <f t="shared" si="0"/>
        <v>0.50778678721822335</v>
      </c>
      <c r="V33">
        <f t="shared" si="1"/>
        <v>0.82182098067514397</v>
      </c>
    </row>
    <row r="34" spans="1:22" x14ac:dyDescent="0.45">
      <c r="A34">
        <v>254.20169006144999</v>
      </c>
      <c r="B34" s="3">
        <v>9.72779846326404E-6</v>
      </c>
      <c r="C34">
        <v>1.383607898890121</v>
      </c>
      <c r="D34">
        <v>2.5497963991270409</v>
      </c>
      <c r="E34">
        <v>5.8188673735452516</v>
      </c>
      <c r="F34">
        <v>6.4564062019690489</v>
      </c>
      <c r="G34">
        <v>5.1425034644457126</v>
      </c>
      <c r="H34">
        <v>0.37305242652343268</v>
      </c>
      <c r="I34">
        <v>0.47104670475857557</v>
      </c>
      <c r="J34">
        <v>1.304845566027117</v>
      </c>
      <c r="K34">
        <v>1.7637544174271349</v>
      </c>
      <c r="L34">
        <v>4.4551769276231497</v>
      </c>
      <c r="M34">
        <v>6.8927636051502352</v>
      </c>
      <c r="N34">
        <v>254.20169006144999</v>
      </c>
      <c r="O34" s="3">
        <v>9.72779846326404E-6</v>
      </c>
      <c r="P34">
        <v>4224345.1785385804</v>
      </c>
      <c r="Q34" t="s">
        <v>17</v>
      </c>
      <c r="R34">
        <v>2.4051784336370368</v>
      </c>
      <c r="S34">
        <v>-5.0119854355218942</v>
      </c>
      <c r="T34">
        <f t="shared" si="0"/>
        <v>0.57615882455450418</v>
      </c>
      <c r="U34">
        <f t="shared" si="0"/>
        <v>0.58747167439373538</v>
      </c>
      <c r="V34">
        <f t="shared" si="1"/>
        <v>0.82284990084887721</v>
      </c>
    </row>
    <row r="35" spans="1:22" x14ac:dyDescent="0.45">
      <c r="A35">
        <v>252.35779500641999</v>
      </c>
      <c r="B35" s="3">
        <v>9.7758181350028095E-6</v>
      </c>
      <c r="C35">
        <v>2.5965108384837312</v>
      </c>
      <c r="D35">
        <v>3.7467098694917791</v>
      </c>
      <c r="E35">
        <v>6.4457923012479714</v>
      </c>
      <c r="F35">
        <v>4.7967696530949846</v>
      </c>
      <c r="G35">
        <v>6.2881971821505331</v>
      </c>
      <c r="H35">
        <v>0.115773447989798</v>
      </c>
      <c r="I35">
        <v>0.2431839988777485</v>
      </c>
      <c r="J35">
        <v>1.019478492754599</v>
      </c>
      <c r="K35">
        <v>1.0854883590882249</v>
      </c>
      <c r="L35">
        <v>6.721477996924845</v>
      </c>
      <c r="M35">
        <v>8.4148049118170167</v>
      </c>
      <c r="N35">
        <v>252.35779500641999</v>
      </c>
      <c r="O35" s="3">
        <v>9.7758181350028095E-6</v>
      </c>
      <c r="P35">
        <v>4817066.7342318203</v>
      </c>
      <c r="Q35" t="s">
        <v>17</v>
      </c>
      <c r="R35">
        <v>2.4020167240726367</v>
      </c>
      <c r="S35">
        <v>-5.0098468864488419</v>
      </c>
      <c r="T35">
        <f t="shared" si="0"/>
        <v>0.66717133613352775</v>
      </c>
      <c r="U35">
        <f t="shared" si="0"/>
        <v>0.49177187482914847</v>
      </c>
      <c r="V35">
        <f t="shared" si="1"/>
        <v>0.82882879331691428</v>
      </c>
    </row>
    <row r="36" spans="1:22" x14ac:dyDescent="0.45">
      <c r="A36">
        <v>250.435626485207</v>
      </c>
      <c r="B36" s="3">
        <v>9.8417654195393698E-6</v>
      </c>
      <c r="C36">
        <v>1.7544664042875251</v>
      </c>
      <c r="D36">
        <v>1.641974231677032</v>
      </c>
      <c r="E36">
        <v>7.5321756690190682</v>
      </c>
      <c r="F36">
        <v>4.7759645672883781</v>
      </c>
      <c r="G36">
        <v>7.0706685203125934</v>
      </c>
      <c r="H36">
        <v>0.2260311680087268</v>
      </c>
      <c r="I36">
        <v>0.27130580700547441</v>
      </c>
      <c r="J36">
        <v>1.0715468408194551</v>
      </c>
      <c r="K36">
        <v>1.1136673402057859</v>
      </c>
      <c r="L36">
        <v>5.2107706212438281</v>
      </c>
      <c r="M36">
        <v>5.4333026229316168</v>
      </c>
      <c r="N36">
        <v>250.435626485207</v>
      </c>
      <c r="O36" s="3">
        <v>9.8417654195393698E-6</v>
      </c>
      <c r="P36">
        <v>6347637.20745927</v>
      </c>
      <c r="Q36" t="s">
        <v>17</v>
      </c>
      <c r="R36">
        <v>2.3986961108217271</v>
      </c>
      <c r="S36">
        <v>-5.006926990675006</v>
      </c>
      <c r="T36">
        <f t="shared" si="0"/>
        <v>0.76275802611629739</v>
      </c>
      <c r="U36">
        <f t="shared" si="0"/>
        <v>0.3611069095839291</v>
      </c>
      <c r="V36">
        <f t="shared" si="1"/>
        <v>0.84391824636873813</v>
      </c>
    </row>
    <row r="37" spans="1:22" x14ac:dyDescent="0.45">
      <c r="A37">
        <v>247.013615733492</v>
      </c>
      <c r="B37" s="3">
        <v>9.9733991185392005E-6</v>
      </c>
      <c r="C37">
        <v>2.3393194613364119</v>
      </c>
      <c r="D37">
        <v>0.1</v>
      </c>
      <c r="E37">
        <v>9.6765014823340785</v>
      </c>
      <c r="F37">
        <v>3.1368503795983309</v>
      </c>
      <c r="G37">
        <v>9.1895473152719056</v>
      </c>
      <c r="H37">
        <v>0</v>
      </c>
      <c r="I37">
        <v>4.2598494992936158E-2</v>
      </c>
      <c r="J37">
        <v>1</v>
      </c>
      <c r="K37">
        <v>1.0049224619106161</v>
      </c>
      <c r="L37">
        <v>3.814767436786962</v>
      </c>
      <c r="M37">
        <v>3.979888591438991</v>
      </c>
      <c r="N37">
        <v>247.013615733492</v>
      </c>
      <c r="O37" s="3">
        <v>9.9733991185392005E-6</v>
      </c>
      <c r="P37">
        <v>25915832.217235401</v>
      </c>
      <c r="Q37" t="s">
        <v>17</v>
      </c>
      <c r="R37">
        <v>2.3927208928343489</v>
      </c>
      <c r="S37">
        <v>-5.0011568008824181</v>
      </c>
      <c r="T37">
        <f t="shared" si="0"/>
        <v>0.93475978187106257</v>
      </c>
      <c r="U37">
        <f t="shared" si="0"/>
        <v>0.10289164879866662</v>
      </c>
      <c r="V37">
        <f t="shared" si="1"/>
        <v>0.94040551954789409</v>
      </c>
    </row>
    <row r="38" spans="1:22" x14ac:dyDescent="0.45">
      <c r="A38">
        <v>258.13501678724901</v>
      </c>
      <c r="B38" s="3">
        <v>9.6353139732274593E-6</v>
      </c>
      <c r="C38">
        <v>1.0706260359840529</v>
      </c>
      <c r="D38">
        <v>3.3653990869846928</v>
      </c>
      <c r="E38">
        <v>4.0111216383962978</v>
      </c>
      <c r="F38">
        <v>7.7394620623214534</v>
      </c>
      <c r="G38">
        <v>3.7146868219517302</v>
      </c>
      <c r="H38">
        <v>0.4155689166476782</v>
      </c>
      <c r="I38">
        <v>0.57667346090962868</v>
      </c>
      <c r="J38">
        <v>1.455106334149487</v>
      </c>
      <c r="K38">
        <v>3.0287504887168319</v>
      </c>
      <c r="L38">
        <v>2.1287498688387632</v>
      </c>
      <c r="M38">
        <v>4.1440995648210439</v>
      </c>
      <c r="N38">
        <v>258.13501678724901</v>
      </c>
      <c r="O38" s="3">
        <v>9.6353139732274593E-6</v>
      </c>
      <c r="P38">
        <v>3480705.3322528698</v>
      </c>
      <c r="Q38" t="s">
        <v>17</v>
      </c>
      <c r="R38">
        <v>2.4118469218857967</v>
      </c>
      <c r="S38">
        <v>-5.0161341289983064</v>
      </c>
      <c r="T38">
        <f t="shared" si="0"/>
        <v>0.384200691907362</v>
      </c>
      <c r="U38">
        <f t="shared" si="0"/>
        <v>0.7731251808530808</v>
      </c>
      <c r="V38">
        <f t="shared" si="1"/>
        <v>0.86332654131053133</v>
      </c>
    </row>
    <row r="39" spans="1:22" x14ac:dyDescent="0.45">
      <c r="A39">
        <v>254.989909362145</v>
      </c>
      <c r="B39" s="3">
        <v>9.70588547988539E-6</v>
      </c>
      <c r="C39">
        <v>1.338291276783051</v>
      </c>
      <c r="D39">
        <v>3.1584500031582681</v>
      </c>
      <c r="E39">
        <v>5.6422164001676087</v>
      </c>
      <c r="F39">
        <v>6.9551240413806594</v>
      </c>
      <c r="G39">
        <v>4.5850563723511311</v>
      </c>
      <c r="H39">
        <v>0.50267004149128292</v>
      </c>
      <c r="I39">
        <v>0.57487384720623569</v>
      </c>
      <c r="J39">
        <v>2.0241531159966062</v>
      </c>
      <c r="K39">
        <v>2.9953772717866278</v>
      </c>
      <c r="L39">
        <v>4.5784427313861276</v>
      </c>
      <c r="M39">
        <v>6.6643149997341222</v>
      </c>
      <c r="N39">
        <v>254.989909362145</v>
      </c>
      <c r="O39" s="3">
        <v>9.70588547988539E-6</v>
      </c>
      <c r="P39">
        <v>3832329.2849592702</v>
      </c>
      <c r="Q39" t="s">
        <v>17</v>
      </c>
      <c r="R39">
        <v>2.4065229945710218</v>
      </c>
      <c r="S39">
        <v>-5.0129648372477327</v>
      </c>
      <c r="T39">
        <f t="shared" si="0"/>
        <v>0.53745448910545213</v>
      </c>
      <c r="U39">
        <f t="shared" si="0"/>
        <v>0.63129977730566467</v>
      </c>
      <c r="V39">
        <f t="shared" si="1"/>
        <v>0.82909392512898339</v>
      </c>
    </row>
    <row r="40" spans="1:22" x14ac:dyDescent="0.45">
      <c r="A40">
        <v>247.10650768742599</v>
      </c>
      <c r="B40" s="3">
        <v>9.9716727203642893E-6</v>
      </c>
      <c r="C40">
        <v>1.228030454829306</v>
      </c>
      <c r="D40">
        <v>0.40327935025169198</v>
      </c>
      <c r="E40">
        <v>7.4151316126712832</v>
      </c>
      <c r="F40">
        <v>2.2862219352559738</v>
      </c>
      <c r="G40">
        <v>8.8021721677404532</v>
      </c>
      <c r="H40">
        <v>0</v>
      </c>
      <c r="I40">
        <v>8.8846200463343905E-4</v>
      </c>
      <c r="J40">
        <v>1</v>
      </c>
      <c r="K40">
        <v>1.000084258895624</v>
      </c>
      <c r="L40">
        <v>3.9295469031596522</v>
      </c>
      <c r="M40">
        <v>4.1822938606957756</v>
      </c>
      <c r="N40">
        <v>247.10650768742599</v>
      </c>
      <c r="O40" s="3">
        <v>9.9716727203642893E-6</v>
      </c>
      <c r="P40">
        <v>15910818.2115328</v>
      </c>
      <c r="Q40" t="s">
        <v>17</v>
      </c>
      <c r="R40">
        <v>2.3928841829396079</v>
      </c>
      <c r="S40">
        <v>-5.001231983885905</v>
      </c>
      <c r="T40">
        <f t="shared" si="0"/>
        <v>0.93005933665529517</v>
      </c>
      <c r="U40">
        <f t="shared" si="0"/>
        <v>0.10625607866142699</v>
      </c>
      <c r="V40">
        <f t="shared" si="1"/>
        <v>0.93610935469751133</v>
      </c>
    </row>
    <row r="41" spans="1:22" x14ac:dyDescent="0.45">
      <c r="A41">
        <v>250.18854768048701</v>
      </c>
      <c r="B41" s="3">
        <v>9.8505703021217206E-6</v>
      </c>
      <c r="C41">
        <v>4.0097544998219972</v>
      </c>
      <c r="D41">
        <v>1.498094515167236</v>
      </c>
      <c r="E41">
        <v>7.7510688976114936</v>
      </c>
      <c r="F41">
        <v>4.8568161187557513</v>
      </c>
      <c r="G41">
        <v>6.4923950855238601</v>
      </c>
      <c r="H41">
        <v>5.6260612980536653E-2</v>
      </c>
      <c r="I41">
        <v>0.22353838890707811</v>
      </c>
      <c r="J41">
        <v>1.0069541676339959</v>
      </c>
      <c r="K41">
        <v>1.0696971429981861</v>
      </c>
      <c r="L41">
        <v>6.5618421258296822</v>
      </c>
      <c r="M41">
        <v>4.8033872076152022</v>
      </c>
      <c r="N41">
        <v>250.18854768048701</v>
      </c>
      <c r="O41" s="3">
        <v>9.8505703021217206E-6</v>
      </c>
      <c r="P41">
        <v>7274306.9036608702</v>
      </c>
      <c r="Q41" t="s">
        <v>17</v>
      </c>
      <c r="R41">
        <v>2.3982674260888071</v>
      </c>
      <c r="S41">
        <v>-5.0065386251476056</v>
      </c>
      <c r="T41">
        <f t="shared" si="0"/>
        <v>0.77509808247629275</v>
      </c>
      <c r="U41">
        <f t="shared" si="0"/>
        <v>0.34372760152953585</v>
      </c>
      <c r="V41">
        <f t="shared" si="1"/>
        <v>0.84789486465697705</v>
      </c>
    </row>
    <row r="42" spans="1:22" x14ac:dyDescent="0.45">
      <c r="A42">
        <v>246.718519565261</v>
      </c>
      <c r="B42" s="3">
        <v>9.9856885701963496E-6</v>
      </c>
      <c r="C42">
        <v>3.2163472395380719</v>
      </c>
      <c r="D42">
        <v>0.46111660314761671</v>
      </c>
      <c r="E42">
        <v>10</v>
      </c>
      <c r="F42">
        <v>2.547741481664374</v>
      </c>
      <c r="G42">
        <v>9.3881602933217341</v>
      </c>
      <c r="H42">
        <v>0.14997895250336191</v>
      </c>
      <c r="I42">
        <v>8.3044558843435617E-2</v>
      </c>
      <c r="J42">
        <v>1.0304497982881851</v>
      </c>
      <c r="K42">
        <v>1.011757716599444</v>
      </c>
      <c r="L42">
        <v>3.7306169583395472</v>
      </c>
      <c r="M42">
        <v>3.883302769953378</v>
      </c>
      <c r="N42">
        <v>246.718519565261</v>
      </c>
      <c r="O42" s="3">
        <v>9.9856885701963496E-6</v>
      </c>
      <c r="P42">
        <v>17355778.623083401</v>
      </c>
      <c r="Q42" t="s">
        <v>17</v>
      </c>
      <c r="R42">
        <v>2.392201750394181</v>
      </c>
      <c r="S42">
        <v>-5.0006219826784957</v>
      </c>
      <c r="T42">
        <f t="shared" si="0"/>
        <v>0.94970374063278429</v>
      </c>
      <c r="U42">
        <f t="shared" si="0"/>
        <v>7.8958602059731139E-2</v>
      </c>
      <c r="V42">
        <f t="shared" si="1"/>
        <v>0.95298040683485707</v>
      </c>
    </row>
    <row r="43" spans="1:22" x14ac:dyDescent="0.45">
      <c r="A43">
        <v>248.413443971531</v>
      </c>
      <c r="B43" s="3">
        <v>9.9158467441516902E-6</v>
      </c>
      <c r="C43">
        <v>1.889954717970423</v>
      </c>
      <c r="D43">
        <v>1.0126642031175239</v>
      </c>
      <c r="E43">
        <v>9.0258541889535842</v>
      </c>
      <c r="F43">
        <v>3.696977757157256</v>
      </c>
      <c r="G43">
        <v>8.3668158134894774</v>
      </c>
      <c r="H43">
        <v>0.18459657345169389</v>
      </c>
      <c r="I43">
        <v>0.17619022698610931</v>
      </c>
      <c r="J43">
        <v>1.0456744017033719</v>
      </c>
      <c r="K43">
        <v>1.0415216635297599</v>
      </c>
      <c r="L43">
        <v>4.2702499673892156</v>
      </c>
      <c r="M43">
        <v>4.4592606459560953</v>
      </c>
      <c r="N43">
        <v>248.413443971531</v>
      </c>
      <c r="O43" s="3">
        <v>9.9158467441516902E-6</v>
      </c>
      <c r="P43">
        <v>9376477.4163627904</v>
      </c>
      <c r="Q43" t="s">
        <v>17</v>
      </c>
      <c r="R43">
        <v>2.3951750958711133</v>
      </c>
      <c r="S43">
        <v>-5.003670194155486</v>
      </c>
      <c r="T43">
        <f t="shared" si="0"/>
        <v>0.86411345027381403</v>
      </c>
      <c r="U43">
        <f t="shared" si="0"/>
        <v>0.21536567873349002</v>
      </c>
      <c r="V43">
        <f t="shared" si="1"/>
        <v>0.89054726461903866</v>
      </c>
    </row>
    <row r="44" spans="1:22" x14ac:dyDescent="0.45">
      <c r="A44">
        <v>250.75921694218101</v>
      </c>
      <c r="B44" s="3">
        <v>9.83002872682345E-6</v>
      </c>
      <c r="C44">
        <v>1.6122916934449161</v>
      </c>
      <c r="D44">
        <v>1.730289268075426</v>
      </c>
      <c r="E44">
        <v>7.2979599824477734</v>
      </c>
      <c r="F44">
        <v>4.8526766751973351</v>
      </c>
      <c r="G44">
        <v>6.9281095291165578</v>
      </c>
      <c r="H44">
        <v>0.2341571603667035</v>
      </c>
      <c r="I44">
        <v>0.29152149531064447</v>
      </c>
      <c r="J44">
        <v>1.0778786663641671</v>
      </c>
      <c r="K44">
        <v>1.138916162139431</v>
      </c>
      <c r="L44">
        <v>5.511494867814025</v>
      </c>
      <c r="M44">
        <v>5.6275055506581344</v>
      </c>
      <c r="N44">
        <v>250.75921694218101</v>
      </c>
      <c r="O44" s="3">
        <v>9.83002872682345E-6</v>
      </c>
      <c r="P44">
        <v>5986225.7707864298</v>
      </c>
      <c r="Q44" t="s">
        <v>17</v>
      </c>
      <c r="R44">
        <v>2.399256904976856</v>
      </c>
      <c r="S44">
        <v>-5.0074452130038081</v>
      </c>
      <c r="T44">
        <f t="shared" si="0"/>
        <v>0.74661508714688551</v>
      </c>
      <c r="U44">
        <f t="shared" si="0"/>
        <v>0.38429729301780807</v>
      </c>
      <c r="V44">
        <f t="shared" si="1"/>
        <v>0.83971334262125819</v>
      </c>
    </row>
    <row r="45" spans="1:22" x14ac:dyDescent="0.45">
      <c r="A45">
        <v>266.19125216107301</v>
      </c>
      <c r="B45" s="3">
        <v>9.5234877666647204E-6</v>
      </c>
      <c r="C45">
        <v>0.1</v>
      </c>
      <c r="D45">
        <v>9.6454850354038637</v>
      </c>
      <c r="E45">
        <v>0.1</v>
      </c>
      <c r="F45">
        <v>10</v>
      </c>
      <c r="G45">
        <v>0.1</v>
      </c>
      <c r="H45">
        <v>1</v>
      </c>
      <c r="I45">
        <v>1</v>
      </c>
      <c r="J45">
        <v>99.917334307115198</v>
      </c>
      <c r="K45">
        <v>99.917334307115198</v>
      </c>
      <c r="L45">
        <v>0.13803897084729719</v>
      </c>
      <c r="M45">
        <v>0.13260946759488301</v>
      </c>
      <c r="N45">
        <v>266.19125216107301</v>
      </c>
      <c r="O45" s="3">
        <v>9.5234877666647204E-6</v>
      </c>
      <c r="P45">
        <v>2439424.8647049302</v>
      </c>
      <c r="Q45" t="s">
        <v>17</v>
      </c>
      <c r="R45">
        <v>2.4251937791604465</v>
      </c>
      <c r="S45">
        <v>-5.0212039717398067</v>
      </c>
      <c r="T45">
        <f t="shared" si="0"/>
        <v>0</v>
      </c>
      <c r="U45">
        <f t="shared" si="0"/>
        <v>1</v>
      </c>
      <c r="V45">
        <f t="shared" si="1"/>
        <v>1</v>
      </c>
    </row>
    <row r="46" spans="1:22" x14ac:dyDescent="0.45">
      <c r="A46">
        <v>253.45616919515999</v>
      </c>
      <c r="B46" s="3">
        <v>9.7500990713087094E-6</v>
      </c>
      <c r="C46">
        <v>1.4463275607506021</v>
      </c>
      <c r="D46">
        <v>2.5840730086130601</v>
      </c>
      <c r="E46">
        <v>6.318086722369574</v>
      </c>
      <c r="F46">
        <v>6.5333112087386827</v>
      </c>
      <c r="G46">
        <v>5.404846264719156</v>
      </c>
      <c r="H46">
        <v>0.39851134753037482</v>
      </c>
      <c r="I46">
        <v>0.45207391008519282</v>
      </c>
      <c r="J46">
        <v>1.3877162971619219</v>
      </c>
      <c r="K46">
        <v>1.6401481915363709</v>
      </c>
      <c r="L46">
        <v>5.5771472296805529</v>
      </c>
      <c r="M46">
        <v>6.7168299518881271</v>
      </c>
      <c r="N46">
        <v>253.45616919515999</v>
      </c>
      <c r="O46" s="3">
        <v>9.7500990713087094E-6</v>
      </c>
      <c r="P46">
        <v>4443276.8751723403</v>
      </c>
      <c r="Q46" t="s">
        <v>17</v>
      </c>
      <c r="R46">
        <v>2.4039028665391351</v>
      </c>
      <c r="S46">
        <v>-5.0109909713882228</v>
      </c>
      <c r="T46">
        <f t="shared" si="0"/>
        <v>0.61287711347476559</v>
      </c>
      <c r="U46">
        <f t="shared" si="0"/>
        <v>0.5429695306432103</v>
      </c>
      <c r="V46">
        <f t="shared" si="1"/>
        <v>0.81880050526857195</v>
      </c>
    </row>
    <row r="47" spans="1:22" x14ac:dyDescent="0.45">
      <c r="A47">
        <v>248.635243450427</v>
      </c>
      <c r="B47" s="3">
        <v>9.9096831166570802E-6</v>
      </c>
      <c r="C47">
        <v>2.1686486699308771</v>
      </c>
      <c r="D47">
        <v>0.9516308077090766</v>
      </c>
      <c r="E47">
        <v>7.518064549285052</v>
      </c>
      <c r="F47">
        <v>3.5013097901076158</v>
      </c>
      <c r="G47">
        <v>7.9905761831439834</v>
      </c>
      <c r="H47">
        <v>4.3052099716993288E-2</v>
      </c>
      <c r="I47">
        <v>0.11190020422237459</v>
      </c>
      <c r="J47">
        <v>1.004985912454573</v>
      </c>
      <c r="K47">
        <v>1.0184393932275191</v>
      </c>
      <c r="L47">
        <v>4.4687909767349234</v>
      </c>
      <c r="M47">
        <v>4.6896621723036072</v>
      </c>
      <c r="N47">
        <v>248.635243450427</v>
      </c>
      <c r="O47" s="3">
        <v>9.9096831166570802E-6</v>
      </c>
      <c r="P47">
        <v>9866023.6764954794</v>
      </c>
      <c r="Q47" t="s">
        <v>17</v>
      </c>
      <c r="R47">
        <v>2.3955626888719794</v>
      </c>
      <c r="S47">
        <v>-5.0039402327889499</v>
      </c>
      <c r="T47">
        <f t="shared" si="0"/>
        <v>0.85295625453500545</v>
      </c>
      <c r="U47">
        <f t="shared" si="0"/>
        <v>0.22744987330392952</v>
      </c>
      <c r="V47">
        <f t="shared" si="1"/>
        <v>0.88276147232214353</v>
      </c>
    </row>
    <row r="48" spans="1:22" x14ac:dyDescent="0.45">
      <c r="A48">
        <v>253.587935855762</v>
      </c>
      <c r="B48" s="3">
        <v>9.7446476618594494E-6</v>
      </c>
      <c r="C48">
        <v>4.2444635899499454</v>
      </c>
      <c r="D48">
        <v>6.8664721960526993</v>
      </c>
      <c r="E48">
        <v>6.9408239322372163</v>
      </c>
      <c r="F48">
        <v>5.2798794784554177</v>
      </c>
      <c r="G48">
        <v>5.589946842324367</v>
      </c>
      <c r="H48">
        <v>0.1358612374032922</v>
      </c>
      <c r="I48">
        <v>0.21128012811145461</v>
      </c>
      <c r="J48">
        <v>1.025501559081601</v>
      </c>
      <c r="K48">
        <v>1.061191793723679</v>
      </c>
      <c r="L48">
        <v>9.9210039143140403</v>
      </c>
      <c r="M48">
        <v>10.166194603311819</v>
      </c>
      <c r="N48">
        <v>253.587935855762</v>
      </c>
      <c r="O48" s="3">
        <v>9.7446476618594494E-6</v>
      </c>
      <c r="P48">
        <v>4531299.3979330696</v>
      </c>
      <c r="Q48" t="s">
        <v>17</v>
      </c>
      <c r="R48">
        <v>2.4041285886580455</v>
      </c>
      <c r="S48">
        <v>-5.0112338590888452</v>
      </c>
      <c r="T48">
        <f t="shared" si="0"/>
        <v>0.60637950939617302</v>
      </c>
      <c r="U48">
        <f t="shared" si="0"/>
        <v>0.55383872441536552</v>
      </c>
      <c r="V48">
        <f t="shared" si="1"/>
        <v>0.82123896770524873</v>
      </c>
    </row>
    <row r="49" spans="1:22" x14ac:dyDescent="0.45">
      <c r="A49">
        <v>254.95454482423901</v>
      </c>
      <c r="B49" s="3">
        <v>9.7122431961284402E-6</v>
      </c>
      <c r="C49">
        <v>1.1600986535720119</v>
      </c>
      <c r="D49">
        <v>3.1525109273296281</v>
      </c>
      <c r="E49">
        <v>5.6475816167064474</v>
      </c>
      <c r="F49">
        <v>7.3614305194712459</v>
      </c>
      <c r="G49">
        <v>4.7237680712131533</v>
      </c>
      <c r="H49">
        <v>0.4582103839260887</v>
      </c>
      <c r="I49">
        <v>0.5064235884023911</v>
      </c>
      <c r="J49">
        <v>1.6777992703593689</v>
      </c>
      <c r="K49">
        <v>2.0603788878471359</v>
      </c>
      <c r="L49">
        <v>5.0136176902899621</v>
      </c>
      <c r="M49">
        <v>6.1179630295447556</v>
      </c>
      <c r="N49">
        <v>254.95454482423901</v>
      </c>
      <c r="O49" s="3">
        <v>9.7122431961284402E-6</v>
      </c>
      <c r="P49">
        <v>3947104.5242126598</v>
      </c>
      <c r="Q49" t="s">
        <v>17</v>
      </c>
      <c r="R49">
        <v>2.4064627581136344</v>
      </c>
      <c r="S49">
        <v>-5.012680451329131</v>
      </c>
      <c r="T49">
        <f t="shared" si="0"/>
        <v>0.53918844700505764</v>
      </c>
      <c r="U49">
        <f t="shared" si="0"/>
        <v>0.61857354354647009</v>
      </c>
      <c r="V49">
        <f t="shared" si="1"/>
        <v>0.82058357902127343</v>
      </c>
    </row>
    <row r="50" spans="1:22" x14ac:dyDescent="0.45">
      <c r="A50">
        <v>249.81307647911299</v>
      </c>
      <c r="B50" s="3">
        <v>9.8642181311327895E-6</v>
      </c>
      <c r="C50">
        <v>1.1295778502538369</v>
      </c>
      <c r="D50">
        <v>1.270794224664664</v>
      </c>
      <c r="E50">
        <v>6.8402840472038671</v>
      </c>
      <c r="F50">
        <v>3.927791954537414</v>
      </c>
      <c r="G50">
        <v>7.4317231258123506</v>
      </c>
      <c r="H50">
        <v>8.0826064062670899E-2</v>
      </c>
      <c r="I50">
        <v>0.17840342154303149</v>
      </c>
      <c r="J50">
        <v>1.0113135169283769</v>
      </c>
      <c r="K50">
        <v>1.04258412877996</v>
      </c>
      <c r="L50">
        <v>5.0366828782844264</v>
      </c>
      <c r="M50">
        <v>5.1867522237346986</v>
      </c>
      <c r="N50">
        <v>249.81307647911299</v>
      </c>
      <c r="O50" s="3">
        <v>9.8642181311327895E-6</v>
      </c>
      <c r="P50">
        <v>7212166.2230099496</v>
      </c>
      <c r="Q50" t="s">
        <v>17</v>
      </c>
      <c r="R50">
        <v>2.3976151678014634</v>
      </c>
      <c r="S50">
        <v>-5.00593733259036</v>
      </c>
      <c r="T50">
        <f t="shared" si="0"/>
        <v>0.79387389465012159</v>
      </c>
      <c r="U50">
        <f t="shared" si="0"/>
        <v>0.31681983591724072</v>
      </c>
      <c r="V50">
        <f t="shared" si="1"/>
        <v>0.85475760835313985</v>
      </c>
    </row>
    <row r="51" spans="1:22" x14ac:dyDescent="0.45">
      <c r="A51">
        <v>256.98006354420698</v>
      </c>
      <c r="B51" s="3">
        <v>9.6596337537914707E-6</v>
      </c>
      <c r="C51">
        <v>0.9808285100895211</v>
      </c>
      <c r="D51">
        <v>3.108895272598903</v>
      </c>
      <c r="E51">
        <v>4.6242409131934048</v>
      </c>
      <c r="F51">
        <v>7.3005328898696336</v>
      </c>
      <c r="G51">
        <v>4.0669280174182747</v>
      </c>
      <c r="H51">
        <v>0.42530958508517408</v>
      </c>
      <c r="I51">
        <v>0.56428954841831824</v>
      </c>
      <c r="J51">
        <v>1.4985904617114729</v>
      </c>
      <c r="K51">
        <v>2.8098588459039942</v>
      </c>
      <c r="L51">
        <v>2.7808719525980301</v>
      </c>
      <c r="M51">
        <v>4.6054362492006877</v>
      </c>
      <c r="N51">
        <v>256.98006354420698</v>
      </c>
      <c r="O51" s="3">
        <v>9.6596337537914707E-6</v>
      </c>
      <c r="P51">
        <v>3558753.3861148199</v>
      </c>
      <c r="Q51" t="s">
        <v>17</v>
      </c>
      <c r="R51">
        <v>2.4098994321694849</v>
      </c>
      <c r="S51">
        <v>-5.0150393396013504</v>
      </c>
      <c r="T51">
        <f t="shared" si="0"/>
        <v>0.4402608475749159</v>
      </c>
      <c r="U51">
        <f t="shared" si="0"/>
        <v>0.72413349430525675</v>
      </c>
      <c r="V51">
        <f t="shared" si="1"/>
        <v>0.84746618309058486</v>
      </c>
    </row>
    <row r="52" spans="1:22" x14ac:dyDescent="0.45">
      <c r="A52">
        <v>256.01711736333999</v>
      </c>
      <c r="B52" s="3">
        <v>9.6822945848182392E-6</v>
      </c>
      <c r="C52">
        <v>1.1285104964903641</v>
      </c>
      <c r="D52">
        <v>3.0970455610606842</v>
      </c>
      <c r="E52">
        <v>5.0438688728101031</v>
      </c>
      <c r="F52">
        <v>7.29196988141166</v>
      </c>
      <c r="G52">
        <v>4.403561691710685</v>
      </c>
      <c r="H52">
        <v>0.43702629331456999</v>
      </c>
      <c r="I52">
        <v>0.54357582289297768</v>
      </c>
      <c r="J52">
        <v>1.5563121353045939</v>
      </c>
      <c r="K52">
        <v>2.494979977080753</v>
      </c>
      <c r="L52">
        <v>3.6733930282696559</v>
      </c>
      <c r="M52">
        <v>5.9688093236942201</v>
      </c>
      <c r="N52">
        <v>256.01711736333999</v>
      </c>
      <c r="O52" s="3">
        <v>9.6822945848182392E-6</v>
      </c>
      <c r="P52">
        <v>3740670.2023758902</v>
      </c>
      <c r="Q52" t="s">
        <v>17</v>
      </c>
      <c r="R52">
        <v>2.4082690033115335</v>
      </c>
      <c r="S52">
        <v>-5.0140217080394018</v>
      </c>
      <c r="T52">
        <f t="shared" si="0"/>
        <v>0.4871941354973412</v>
      </c>
      <c r="U52">
        <f t="shared" si="0"/>
        <v>0.67859461108006369</v>
      </c>
      <c r="V52">
        <f t="shared" si="1"/>
        <v>0.83537343257366314</v>
      </c>
    </row>
    <row r="53" spans="1:22" x14ac:dyDescent="0.45">
      <c r="A53">
        <v>261.37925216634801</v>
      </c>
      <c r="B53" s="3">
        <v>9.5755956783409706E-6</v>
      </c>
      <c r="C53">
        <v>0.32489347557444082</v>
      </c>
      <c r="D53">
        <v>3.218767360602437</v>
      </c>
      <c r="E53">
        <v>3.5194716746957431</v>
      </c>
      <c r="F53">
        <v>8.8247631498054346</v>
      </c>
      <c r="G53">
        <v>2.7565882973136979</v>
      </c>
      <c r="H53">
        <v>0.3870034638512696</v>
      </c>
      <c r="I53">
        <v>0.65243402134079387</v>
      </c>
      <c r="J53">
        <v>1.347854930216263</v>
      </c>
      <c r="K53">
        <v>5.0742378640980554</v>
      </c>
      <c r="L53">
        <v>0.66659953656876769</v>
      </c>
      <c r="M53">
        <v>0.66659953656876769</v>
      </c>
      <c r="N53">
        <v>261.37925216634801</v>
      </c>
      <c r="O53" s="3">
        <v>9.5755956783409706E-6</v>
      </c>
      <c r="P53">
        <v>2916657.96395117</v>
      </c>
      <c r="Q53" t="s">
        <v>17</v>
      </c>
      <c r="R53">
        <v>2.4172711110667033</v>
      </c>
      <c r="S53">
        <v>-5.0188341999421375</v>
      </c>
      <c r="T53">
        <f t="shared" si="0"/>
        <v>0.22806077121615037</v>
      </c>
      <c r="U53">
        <f t="shared" si="0"/>
        <v>0.89395301285882578</v>
      </c>
      <c r="V53">
        <f t="shared" si="1"/>
        <v>0.92258533728163994</v>
      </c>
    </row>
    <row r="54" spans="1:22" x14ac:dyDescent="0.45">
      <c r="A54">
        <v>256.14354741327702</v>
      </c>
      <c r="B54" s="3">
        <v>9.6697752007339693E-6</v>
      </c>
      <c r="C54">
        <v>0.1</v>
      </c>
      <c r="D54">
        <v>8.3192709937007194</v>
      </c>
      <c r="E54">
        <v>7.2993291452001614</v>
      </c>
      <c r="F54">
        <v>7.5798714787224091</v>
      </c>
      <c r="G54">
        <v>6.4340221606965606</v>
      </c>
      <c r="H54">
        <v>1</v>
      </c>
      <c r="I54">
        <v>0.98967751663001069</v>
      </c>
      <c r="J54">
        <v>99.917334307115198</v>
      </c>
      <c r="K54">
        <v>90.982659883200526</v>
      </c>
      <c r="L54">
        <v>6.0998653931365006</v>
      </c>
      <c r="M54">
        <v>6.0998653931365006</v>
      </c>
      <c r="N54">
        <v>256.14354741327702</v>
      </c>
      <c r="O54" s="3">
        <v>9.6697752007339693E-6</v>
      </c>
      <c r="P54">
        <v>3179245.7443661401</v>
      </c>
      <c r="Q54" t="s">
        <v>17</v>
      </c>
      <c r="R54">
        <v>2.4084834199113465</v>
      </c>
      <c r="S54">
        <v>-5.014583622113026</v>
      </c>
      <c r="T54">
        <f t="shared" si="0"/>
        <v>0.48102197044684242</v>
      </c>
      <c r="U54">
        <f t="shared" si="0"/>
        <v>0.70374019454876569</v>
      </c>
      <c r="V54">
        <f t="shared" si="1"/>
        <v>0.85242735612842546</v>
      </c>
    </row>
    <row r="55" spans="1:22" x14ac:dyDescent="0.45">
      <c r="A55">
        <v>253.18808393292801</v>
      </c>
      <c r="B55" s="3">
        <v>9.76014400443971E-6</v>
      </c>
      <c r="C55">
        <v>1.5099787623135019</v>
      </c>
      <c r="D55">
        <v>2.5606507909848029</v>
      </c>
      <c r="E55">
        <v>6.5527059009423052</v>
      </c>
      <c r="F55">
        <v>6.5962302676107196</v>
      </c>
      <c r="G55">
        <v>5.4978053318342308</v>
      </c>
      <c r="H55">
        <v>0.41153354329006459</v>
      </c>
      <c r="I55">
        <v>0.44718214386803201</v>
      </c>
      <c r="J55">
        <v>1.438199015860504</v>
      </c>
      <c r="K55">
        <v>1.611615452165388</v>
      </c>
      <c r="L55">
        <v>5.9040076884598713</v>
      </c>
      <c r="M55">
        <v>6.2164281090411126</v>
      </c>
      <c r="N55">
        <v>253.18808393292801</v>
      </c>
      <c r="O55" s="3">
        <v>9.76014400443971E-6</v>
      </c>
      <c r="P55">
        <v>4583893.2145130904</v>
      </c>
      <c r="Q55" t="s">
        <v>17</v>
      </c>
      <c r="R55">
        <v>2.4034432621511876</v>
      </c>
      <c r="S55">
        <v>-5.0105437745595207</v>
      </c>
      <c r="T55">
        <f t="shared" si="0"/>
        <v>0.62610721852642137</v>
      </c>
      <c r="U55">
        <f t="shared" si="0"/>
        <v>0.52295752932325668</v>
      </c>
      <c r="V55" s="4">
        <f t="shared" si="1"/>
        <v>0.81577866273075372</v>
      </c>
    </row>
    <row r="56" spans="1:22" x14ac:dyDescent="0.45">
      <c r="A56">
        <v>254.00322903058699</v>
      </c>
      <c r="B56" s="3">
        <v>9.7336526878663594E-6</v>
      </c>
      <c r="C56">
        <v>1.3852600026052519</v>
      </c>
      <c r="D56">
        <v>2.6422208300346171</v>
      </c>
      <c r="E56">
        <v>5.9438245587949918</v>
      </c>
      <c r="F56">
        <v>6.5832887071698121</v>
      </c>
      <c r="G56">
        <v>5.230883083725387</v>
      </c>
      <c r="H56">
        <v>0.38117578960423792</v>
      </c>
      <c r="I56">
        <v>0.45908650336562312</v>
      </c>
      <c r="J56">
        <v>1.3292176337170989</v>
      </c>
      <c r="K56">
        <v>1.6833497368095529</v>
      </c>
      <c r="L56">
        <v>4.8626263858749779</v>
      </c>
      <c r="M56">
        <v>7.2921800591017814</v>
      </c>
      <c r="N56">
        <v>254.00322903058699</v>
      </c>
      <c r="O56" s="3">
        <v>9.7336526878663594E-6</v>
      </c>
      <c r="P56">
        <v>4275069.9722041097</v>
      </c>
      <c r="Q56" t="s">
        <v>17</v>
      </c>
      <c r="R56">
        <v>2.4048392376484893</v>
      </c>
      <c r="S56">
        <v>-5.0117241541305377</v>
      </c>
      <c r="T56">
        <f t="shared" si="0"/>
        <v>0.58592287093714313</v>
      </c>
      <c r="U56">
        <f t="shared" si="0"/>
        <v>0.5757793652960137</v>
      </c>
      <c r="V56">
        <f t="shared" si="1"/>
        <v>0.82147884220344014</v>
      </c>
    </row>
    <row r="57" spans="1:22" x14ac:dyDescent="0.45">
      <c r="A57">
        <v>251.21717518271501</v>
      </c>
      <c r="B57" s="3">
        <v>9.8134007034798294E-6</v>
      </c>
      <c r="C57">
        <v>1.421122367601279</v>
      </c>
      <c r="D57">
        <v>1.8838198355722791</v>
      </c>
      <c r="E57">
        <v>6.7354393579039087</v>
      </c>
      <c r="F57">
        <v>4.709659851857606</v>
      </c>
      <c r="G57">
        <v>6.6556418086435691</v>
      </c>
      <c r="H57">
        <v>0.24783883901632431</v>
      </c>
      <c r="I57">
        <v>0.3237652302974478</v>
      </c>
      <c r="J57">
        <v>1.089665592223553</v>
      </c>
      <c r="K57">
        <v>1.190251497080679</v>
      </c>
      <c r="L57">
        <v>5.7640733823128656</v>
      </c>
      <c r="M57">
        <v>5.9386609728530138</v>
      </c>
      <c r="N57">
        <v>251.21717518271501</v>
      </c>
      <c r="O57" s="3">
        <v>9.8134007034798294E-6</v>
      </c>
      <c r="P57">
        <v>5517876.07638143</v>
      </c>
      <c r="Q57" t="s">
        <v>17</v>
      </c>
      <c r="R57">
        <v>2.4000493278680728</v>
      </c>
      <c r="S57">
        <v>-5.0081804675614254</v>
      </c>
      <c r="T57">
        <f t="shared" si="0"/>
        <v>0.72380451707605742</v>
      </c>
      <c r="U57">
        <f t="shared" si="0"/>
        <v>0.41719984114241143</v>
      </c>
      <c r="V57">
        <f t="shared" si="1"/>
        <v>0.83543323275349657</v>
      </c>
    </row>
    <row r="58" spans="1:22" x14ac:dyDescent="0.45">
      <c r="A58">
        <v>254.170703914456</v>
      </c>
      <c r="B58" s="3">
        <v>9.7329226089038607E-6</v>
      </c>
      <c r="C58">
        <v>5.0967784214937168</v>
      </c>
      <c r="D58">
        <v>8.6308340736914211</v>
      </c>
      <c r="E58">
        <v>7.1621135568705849</v>
      </c>
      <c r="F58">
        <v>5.5275508841962386</v>
      </c>
      <c r="G58">
        <v>5.1842201634084892</v>
      </c>
      <c r="H58">
        <v>0.14368067681864249</v>
      </c>
      <c r="I58">
        <v>0.19139086907948161</v>
      </c>
      <c r="J58">
        <v>1.0281629600532669</v>
      </c>
      <c r="K58">
        <v>1.0492727446350441</v>
      </c>
      <c r="L58">
        <v>11.403209497002001</v>
      </c>
      <c r="M58">
        <v>11.43486922817935</v>
      </c>
      <c r="N58">
        <v>254.170703914456</v>
      </c>
      <c r="O58" s="3">
        <v>9.7329226089038607E-6</v>
      </c>
      <c r="P58">
        <v>4488943.3099382697</v>
      </c>
      <c r="Q58" t="s">
        <v>17</v>
      </c>
      <c r="R58">
        <v>2.4051254916880596</v>
      </c>
      <c r="S58">
        <v>-5.0117567298928458</v>
      </c>
      <c r="T58">
        <f t="shared" si="0"/>
        <v>0.57768280379616421</v>
      </c>
      <c r="U58">
        <f t="shared" si="0"/>
        <v>0.57723712652433001</v>
      </c>
      <c r="V58">
        <f t="shared" si="1"/>
        <v>0.81665177526278776</v>
      </c>
    </row>
    <row r="59" spans="1:22" x14ac:dyDescent="0.45">
      <c r="A59">
        <v>253.231858348435</v>
      </c>
      <c r="B59" s="3">
        <v>9.7564073403365197E-6</v>
      </c>
      <c r="C59">
        <v>1.463696488534004</v>
      </c>
      <c r="D59">
        <v>2.522781793924795</v>
      </c>
      <c r="E59">
        <v>6.4250272635038179</v>
      </c>
      <c r="F59">
        <v>6.4241889798773073</v>
      </c>
      <c r="G59">
        <v>5.519799983314396</v>
      </c>
      <c r="H59">
        <v>0.3903765257166556</v>
      </c>
      <c r="I59">
        <v>0.44147776526968779</v>
      </c>
      <c r="J59">
        <v>1.3591061203778341</v>
      </c>
      <c r="K59">
        <v>1.5799197957874009</v>
      </c>
      <c r="L59">
        <v>5.7371781455829636</v>
      </c>
      <c r="M59">
        <v>6.578642572615502</v>
      </c>
      <c r="N59">
        <v>253.231858348435</v>
      </c>
      <c r="O59" s="3">
        <v>9.7564073403365197E-6</v>
      </c>
      <c r="P59">
        <v>4530373.3935621502</v>
      </c>
      <c r="Q59" t="s">
        <v>17</v>
      </c>
      <c r="R59">
        <v>2.4035183420821435</v>
      </c>
      <c r="S59">
        <v>-5.0107100757253269</v>
      </c>
      <c r="T59">
        <f t="shared" si="0"/>
        <v>0.6239459785559901</v>
      </c>
      <c r="U59">
        <f t="shared" si="0"/>
        <v>0.53039948538381754</v>
      </c>
      <c r="V59">
        <f t="shared" si="1"/>
        <v>0.81892136267874371</v>
      </c>
    </row>
    <row r="60" spans="1:22" x14ac:dyDescent="0.45">
      <c r="A60">
        <v>257.82418393721798</v>
      </c>
      <c r="B60" s="3">
        <v>9.6423027058773101E-6</v>
      </c>
      <c r="C60">
        <v>0.8663761545274189</v>
      </c>
      <c r="D60">
        <v>3.4734401976060538</v>
      </c>
      <c r="E60">
        <v>4.362952298040188</v>
      </c>
      <c r="F60">
        <v>7.9628638092504227</v>
      </c>
      <c r="G60">
        <v>3.540750220537952</v>
      </c>
      <c r="H60">
        <v>0.49783256326675868</v>
      </c>
      <c r="I60">
        <v>0.62148764144989743</v>
      </c>
      <c r="J60">
        <v>1.9792680159655049</v>
      </c>
      <c r="K60">
        <v>4.0650855894768494</v>
      </c>
      <c r="L60">
        <v>2.7342322059234481</v>
      </c>
      <c r="M60">
        <v>3.7557723974581698</v>
      </c>
      <c r="N60">
        <v>257.82418393721798</v>
      </c>
      <c r="O60" s="3">
        <v>9.6423027058773101E-6</v>
      </c>
      <c r="P60">
        <v>3360266.1960560698</v>
      </c>
      <c r="Q60" t="s">
        <v>17</v>
      </c>
      <c r="R60">
        <v>2.4113236517989205</v>
      </c>
      <c r="S60">
        <v>-5.0158192386040401</v>
      </c>
      <c r="T60">
        <f t="shared" si="0"/>
        <v>0.39926346850677352</v>
      </c>
      <c r="U60">
        <f t="shared" si="0"/>
        <v>0.75903387567995151</v>
      </c>
      <c r="V60">
        <f t="shared" si="1"/>
        <v>0.85763846795359377</v>
      </c>
    </row>
    <row r="61" spans="1:22" x14ac:dyDescent="0.45">
      <c r="A61">
        <v>250.716656416413</v>
      </c>
      <c r="B61" s="3">
        <v>9.8364993576825492E-6</v>
      </c>
      <c r="C61">
        <v>1.6960683059017581</v>
      </c>
      <c r="D61">
        <v>1.8281362907247409</v>
      </c>
      <c r="E61">
        <v>7.820817830864085</v>
      </c>
      <c r="F61">
        <v>5.178342180370155</v>
      </c>
      <c r="G61">
        <v>6.8986560010181623</v>
      </c>
      <c r="H61">
        <v>0.31190705583820938</v>
      </c>
      <c r="I61">
        <v>0.31800682533373731</v>
      </c>
      <c r="J61">
        <v>1.1695874895261731</v>
      </c>
      <c r="K61">
        <v>1.1799362048646631</v>
      </c>
      <c r="L61">
        <v>4.7707631099779348</v>
      </c>
      <c r="M61">
        <v>5.0310826857244884</v>
      </c>
      <c r="N61">
        <v>250.716656416413</v>
      </c>
      <c r="O61" s="3">
        <v>9.8364993576825492E-6</v>
      </c>
      <c r="P61">
        <v>6076409.6157501098</v>
      </c>
      <c r="Q61" t="s">
        <v>17</v>
      </c>
      <c r="R61">
        <v>2.3991831873664413</v>
      </c>
      <c r="S61">
        <v>-5.0071594320702468</v>
      </c>
      <c r="T61">
        <f t="shared" si="0"/>
        <v>0.74873711155639611</v>
      </c>
      <c r="U61">
        <f t="shared" si="0"/>
        <v>0.37150863251624844</v>
      </c>
      <c r="V61">
        <f t="shared" si="1"/>
        <v>0.83583845703336002</v>
      </c>
    </row>
    <row r="62" spans="1:22" x14ac:dyDescent="0.45">
      <c r="A62">
        <v>251.04030795344099</v>
      </c>
      <c r="B62" s="3">
        <v>9.8283922195365103E-6</v>
      </c>
      <c r="C62">
        <v>1.8152347356325691</v>
      </c>
      <c r="D62">
        <v>1.937813490904134</v>
      </c>
      <c r="E62">
        <v>7.7347242632654627</v>
      </c>
      <c r="F62">
        <v>5.4886684154091876</v>
      </c>
      <c r="G62">
        <v>6.6568854843365024</v>
      </c>
      <c r="H62">
        <v>0.33097869655979001</v>
      </c>
      <c r="I62">
        <v>0.33079706612965482</v>
      </c>
      <c r="J62">
        <v>1.203966066183807</v>
      </c>
      <c r="K62">
        <v>1.2036094921420719</v>
      </c>
      <c r="L62">
        <v>4.736508276543919</v>
      </c>
      <c r="M62">
        <v>5.0184893272458559</v>
      </c>
      <c r="N62">
        <v>251.04030795344099</v>
      </c>
      <c r="O62" s="3">
        <v>9.8283922195365103E-6</v>
      </c>
      <c r="P62">
        <v>5932946.3354359698</v>
      </c>
      <c r="Q62" t="s">
        <v>17</v>
      </c>
      <c r="R62">
        <v>2.3997434589961997</v>
      </c>
      <c r="S62">
        <v>-5.0075175205495555</v>
      </c>
      <c r="T62">
        <f t="shared" si="0"/>
        <v>0.73260921392628719</v>
      </c>
      <c r="U62">
        <f t="shared" si="0"/>
        <v>0.38753304651172038</v>
      </c>
      <c r="V62">
        <f t="shared" si="1"/>
        <v>0.82879317231040683</v>
      </c>
    </row>
    <row r="63" spans="1:22" x14ac:dyDescent="0.45">
      <c r="A63">
        <v>245.74299183752399</v>
      </c>
      <c r="B63" s="3">
        <v>1.00244968402223E-5</v>
      </c>
      <c r="C63">
        <v>1.9153913812025469</v>
      </c>
      <c r="D63">
        <v>0.1</v>
      </c>
      <c r="E63">
        <v>9.0956911714675712</v>
      </c>
      <c r="F63">
        <v>1.5330667740330211</v>
      </c>
      <c r="G63">
        <v>10</v>
      </c>
      <c r="H63">
        <v>0</v>
      </c>
      <c r="I63">
        <v>0</v>
      </c>
      <c r="J63">
        <v>1</v>
      </c>
      <c r="K63">
        <v>1</v>
      </c>
      <c r="L63">
        <v>3.807935912438229</v>
      </c>
      <c r="M63">
        <v>3.9139848793585559</v>
      </c>
      <c r="N63">
        <v>245.74299183752399</v>
      </c>
      <c r="O63" s="3">
        <v>1.00244968402223E-5</v>
      </c>
      <c r="P63">
        <v>27665486.218115501</v>
      </c>
      <c r="Q63" t="s">
        <v>17</v>
      </c>
      <c r="R63">
        <v>2.3904811413579257</v>
      </c>
      <c r="S63">
        <v>-4.9989374167126632</v>
      </c>
      <c r="T63">
        <f t="shared" si="0"/>
        <v>0.99923294204913182</v>
      </c>
      <c r="U63">
        <f t="shared" si="0"/>
        <v>3.5744889173602739E-3</v>
      </c>
      <c r="V63">
        <f t="shared" si="1"/>
        <v>0.99923933541828902</v>
      </c>
    </row>
    <row r="64" spans="1:22" x14ac:dyDescent="0.45">
      <c r="A64">
        <v>250.27960206964499</v>
      </c>
      <c r="B64" s="3">
        <v>9.8475218725009098E-6</v>
      </c>
      <c r="C64">
        <v>3.7479153296416232</v>
      </c>
      <c r="D64">
        <v>1.514768403724372</v>
      </c>
      <c r="E64">
        <v>7.5753556809981051</v>
      </c>
      <c r="F64">
        <v>4.8132883924545729</v>
      </c>
      <c r="G64">
        <v>6.5156238710584979</v>
      </c>
      <c r="H64">
        <v>6.1139791414838877E-2</v>
      </c>
      <c r="I64">
        <v>0.22750714592026561</v>
      </c>
      <c r="J64">
        <v>1.0077436853688571</v>
      </c>
      <c r="K64">
        <v>1.0726621453238241</v>
      </c>
      <c r="L64">
        <v>6.0827169040793443</v>
      </c>
      <c r="M64">
        <v>4.874419551854543</v>
      </c>
      <c r="N64">
        <v>250.27960206964499</v>
      </c>
      <c r="O64" s="3">
        <v>9.8475218725009098E-6</v>
      </c>
      <c r="P64">
        <v>7136445.6744651999</v>
      </c>
      <c r="Q64" t="s">
        <v>17</v>
      </c>
      <c r="R64">
        <v>2.3984254558024682</v>
      </c>
      <c r="S64">
        <v>-5.0066730458987747</v>
      </c>
      <c r="T64">
        <f t="shared" si="0"/>
        <v>0.77054906212781937</v>
      </c>
      <c r="U64">
        <f t="shared" si="0"/>
        <v>0.34974291308179445</v>
      </c>
      <c r="V64">
        <f t="shared" si="1"/>
        <v>0.84620680829038575</v>
      </c>
    </row>
    <row r="65" spans="1:22" x14ac:dyDescent="0.45">
      <c r="A65">
        <v>259.57514002077198</v>
      </c>
      <c r="B65" s="3">
        <v>9.6114167099843899E-6</v>
      </c>
      <c r="C65">
        <v>0.37873816961711659</v>
      </c>
      <c r="D65">
        <v>3.9456862151739189</v>
      </c>
      <c r="E65">
        <v>3.9897778913101338</v>
      </c>
      <c r="F65">
        <v>9.0559024244553452</v>
      </c>
      <c r="G65">
        <v>2.8422081313319549</v>
      </c>
      <c r="H65">
        <v>0.5526672262040554</v>
      </c>
      <c r="I65">
        <v>0.68555861305630739</v>
      </c>
      <c r="J65">
        <v>2.6258518971587801</v>
      </c>
      <c r="K65">
        <v>6.5239779057254106</v>
      </c>
      <c r="L65">
        <v>1.490027236409375</v>
      </c>
      <c r="M65">
        <v>1.721449112759919</v>
      </c>
      <c r="N65">
        <v>259.57514002077198</v>
      </c>
      <c r="O65" s="3">
        <v>9.6114167099843899E-6</v>
      </c>
      <c r="P65">
        <v>3025752.71330541</v>
      </c>
      <c r="Q65" t="s">
        <v>17</v>
      </c>
      <c r="R65">
        <v>2.4142630969542753</v>
      </c>
      <c r="S65">
        <v>-5.017212593186656</v>
      </c>
      <c r="T65">
        <f t="shared" si="0"/>
        <v>0.31464902787316751</v>
      </c>
      <c r="U65">
        <f t="shared" si="0"/>
        <v>0.8213863163879972</v>
      </c>
      <c r="V65">
        <f t="shared" si="1"/>
        <v>0.87959052489835998</v>
      </c>
    </row>
    <row r="66" spans="1:22" x14ac:dyDescent="0.45">
      <c r="A66">
        <v>245.855809345339</v>
      </c>
      <c r="B66" s="3">
        <v>1.00225226477042E-5</v>
      </c>
      <c r="C66">
        <v>1.7224618969533201</v>
      </c>
      <c r="D66">
        <v>0.1</v>
      </c>
      <c r="E66">
        <v>8.376075268329032</v>
      </c>
      <c r="F66">
        <v>1.529749673441575</v>
      </c>
      <c r="G66">
        <v>9.7074897070964212</v>
      </c>
      <c r="H66">
        <v>0</v>
      </c>
      <c r="I66">
        <v>0</v>
      </c>
      <c r="J66">
        <v>1</v>
      </c>
      <c r="K66">
        <v>1</v>
      </c>
      <c r="L66">
        <v>3.776670983347179</v>
      </c>
      <c r="M66">
        <v>3.9158571501633528</v>
      </c>
      <c r="N66">
        <v>245.855809345339</v>
      </c>
      <c r="O66" s="3">
        <v>1.00225226477042E-5</v>
      </c>
      <c r="P66">
        <v>27733651.998384502</v>
      </c>
      <c r="Q66" t="s">
        <v>17</v>
      </c>
      <c r="R66">
        <v>2.3906804747242738</v>
      </c>
      <c r="S66">
        <v>-4.9990229537093338</v>
      </c>
      <c r="T66">
        <f t="shared" si="0"/>
        <v>0.99349496076295751</v>
      </c>
      <c r="U66">
        <f t="shared" si="0"/>
        <v>7.4022586608187635E-3</v>
      </c>
      <c r="V66">
        <f t="shared" si="1"/>
        <v>0.99352253648051292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Fitas</cp:lastModifiedBy>
  <dcterms:created xsi:type="dcterms:W3CDTF">2026-01-14T17:14:34Z</dcterms:created>
  <dcterms:modified xsi:type="dcterms:W3CDTF">2026-02-25T12:05:40Z</dcterms:modified>
</cp:coreProperties>
</file>